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/Users/sashimild/Downloads/"/>
    </mc:Choice>
  </mc:AlternateContent>
  <xr:revisionPtr revIDLastSave="0" documentId="8_{F0E15820-8934-BD40-999B-E3704308D1D9}" xr6:coauthVersionLast="47" xr6:coauthVersionMax="47" xr10:uidLastSave="{00000000-0000-0000-0000-000000000000}"/>
  <bookViews>
    <workbookView xWindow="160" yWindow="920" windowWidth="29080" windowHeight="16740" xr2:uid="{1B003E72-C918-4C13-802C-100FC7B71173}"/>
  </bookViews>
  <sheets>
    <sheet name="Project" sheetId="1" r:id="rId1"/>
    <sheet name="Invoice" sheetId="2" r:id="rId2"/>
  </sheets>
  <definedNames>
    <definedName name="_xlnm._FilterDatabase" localSheetId="1" hidden="1">Invoice!$A$1:$R$58</definedName>
    <definedName name="_xlnm._FilterDatabase" localSheetId="0" hidden="1">Project!$A$1:$W$29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2" i="2"/>
</calcChain>
</file>

<file path=xl/sharedStrings.xml><?xml version="1.0" encoding="utf-8"?>
<sst xmlns="http://schemas.openxmlformats.org/spreadsheetml/2006/main" count="543" uniqueCount="99">
  <si>
    <t>Project Engineer</t>
  </si>
  <si>
    <t>Project year</t>
  </si>
  <si>
    <t>Order number</t>
  </si>
  <si>
    <t>Customer</t>
  </si>
  <si>
    <t>Project</t>
  </si>
  <si>
    <t>Product</t>
  </si>
  <si>
    <t>Manufactured by</t>
  </si>
  <si>
    <t>PO delivery term</t>
  </si>
  <si>
    <t>Q'ty</t>
  </si>
  <si>
    <t>Project Value</t>
  </si>
  <si>
    <t>Max LD</t>
  </si>
  <si>
    <t>LD Risk</t>
  </si>
  <si>
    <t>Max LD Amount</t>
  </si>
  <si>
    <t>Extra cost</t>
  </si>
  <si>
    <t>Change order</t>
  </si>
  <si>
    <t>Change order amount</t>
  </si>
  <si>
    <t>PO Date</t>
  </si>
  <si>
    <t>PO Delivery Date</t>
  </si>
  <si>
    <t>Actual shipdate</t>
  </si>
  <si>
    <t>Balance</t>
  </si>
  <si>
    <t>Project Phrase</t>
  </si>
  <si>
    <t>Status</t>
  </si>
  <si>
    <t>Progress</t>
  </si>
  <si>
    <t>Project Engineer1</t>
  </si>
  <si>
    <t>Customer1</t>
  </si>
  <si>
    <t>Project1</t>
  </si>
  <si>
    <t>Heater</t>
  </si>
  <si>
    <t>USA</t>
  </si>
  <si>
    <t>FOB</t>
  </si>
  <si>
    <t>No</t>
  </si>
  <si>
    <t>Final Document</t>
  </si>
  <si>
    <t>Shipped</t>
  </si>
  <si>
    <t>Control Panel</t>
  </si>
  <si>
    <t>Yes</t>
  </si>
  <si>
    <t>Customer2</t>
  </si>
  <si>
    <t>Project2</t>
  </si>
  <si>
    <t>EXW</t>
  </si>
  <si>
    <t>Completed</t>
  </si>
  <si>
    <t>Customer3</t>
  </si>
  <si>
    <t>Project3</t>
  </si>
  <si>
    <t>Procurement</t>
  </si>
  <si>
    <t>Delayed</t>
  </si>
  <si>
    <t>Customer4</t>
  </si>
  <si>
    <t>Project4</t>
  </si>
  <si>
    <t>Spain</t>
  </si>
  <si>
    <t>Shipping</t>
  </si>
  <si>
    <t>China</t>
  </si>
  <si>
    <t>Project19</t>
  </si>
  <si>
    <t>Final inspection</t>
  </si>
  <si>
    <t>Project5</t>
  </si>
  <si>
    <t>Fabrication</t>
  </si>
  <si>
    <t>On track</t>
  </si>
  <si>
    <t>Project Engineer2</t>
  </si>
  <si>
    <t>Customer5</t>
  </si>
  <si>
    <t>Project6</t>
  </si>
  <si>
    <t>Customer6</t>
  </si>
  <si>
    <t>Project8</t>
  </si>
  <si>
    <t>Customer7</t>
  </si>
  <si>
    <t>Project9</t>
  </si>
  <si>
    <t>Customer8</t>
  </si>
  <si>
    <t>Project10</t>
  </si>
  <si>
    <t>Vessel</t>
  </si>
  <si>
    <t>South Korea</t>
  </si>
  <si>
    <t>Project Engineer3</t>
  </si>
  <si>
    <t>Customer9</t>
  </si>
  <si>
    <t>Project11</t>
  </si>
  <si>
    <t>Customer10</t>
  </si>
  <si>
    <t>Project12</t>
  </si>
  <si>
    <t>EWX</t>
  </si>
  <si>
    <t>Customer11</t>
  </si>
  <si>
    <t>Project13</t>
  </si>
  <si>
    <t>Customer13</t>
  </si>
  <si>
    <t>Project15</t>
  </si>
  <si>
    <t>FCA</t>
  </si>
  <si>
    <t>Prepare document</t>
  </si>
  <si>
    <t>Project15_x000D_</t>
  </si>
  <si>
    <t>Customer14</t>
  </si>
  <si>
    <t>Project16</t>
  </si>
  <si>
    <t>Project17</t>
  </si>
  <si>
    <t>SEQ</t>
  </si>
  <si>
    <t>Sale order No.</t>
  </si>
  <si>
    <t>Total amount</t>
  </si>
  <si>
    <t>Percentage of amount</t>
  </si>
  <si>
    <t>Invoice value</t>
  </si>
  <si>
    <t xml:space="preserve">Currency unit </t>
  </si>
  <si>
    <t>Invoice plan date</t>
  </si>
  <si>
    <t>Invoice Issued Date</t>
  </si>
  <si>
    <t>Invoice due date</t>
  </si>
  <si>
    <t>Plan payment date</t>
  </si>
  <si>
    <t>Expected Payment date</t>
  </si>
  <si>
    <t>Actual Payment received date</t>
  </si>
  <si>
    <t>Actual Delayed</t>
  </si>
  <si>
    <t>Received value</t>
  </si>
  <si>
    <t>Payment Status</t>
  </si>
  <si>
    <t>USD</t>
  </si>
  <si>
    <t>Paid</t>
  </si>
  <si>
    <t>Invoiced</t>
  </si>
  <si>
    <t>Aging</t>
  </si>
  <si>
    <t>Not invoiced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</si>
</sst>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[$-409]d\-mmm\-yy;@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name val="Arial"/>
      <family val="2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7">
    <xf numFmtId="0" fontId="0" fillId="0" borderId="0" xfId="0"/>
    <xf numFmtId="43" fontId="0" fillId="0" borderId="1" xfId="2" applyFont="1" applyFill="1" applyBorder="1" applyAlignment="1">
      <alignment horizontal="center" vertical="center"/>
    </xf>
    <xf numFmtId="164" fontId="0" fillId="0" borderId="1" xfId="1" applyFont="1" applyFill="1" applyBorder="1" applyAlignment="1">
      <alignment horizontal="center"/>
    </xf>
    <xf numFmtId="43" fontId="0" fillId="0" borderId="5" xfId="2" applyFont="1" applyFill="1" applyBorder="1" applyAlignment="1">
      <alignment horizontal="center" vertical="center"/>
    </xf>
    <xf numFmtId="164" fontId="0" fillId="0" borderId="5" xfId="1" applyFont="1" applyFill="1" applyBorder="1" applyAlignment="1">
      <alignment horizontal="center" vertical="center"/>
    </xf>
    <xf numFmtId="164" fontId="0" fillId="0" borderId="7" xfId="1" applyFont="1" applyFill="1" applyBorder="1" applyAlignment="1">
      <alignment horizontal="center" vertical="center"/>
    </xf>
    <xf numFmtId="9" fontId="0" fillId="0" borderId="7" xfId="1" applyNumberFormat="1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 wrapText="1"/>
    </xf>
    <xf numFmtId="43" fontId="0" fillId="0" borderId="7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/>
    </xf>
    <xf numFmtId="43" fontId="0" fillId="0" borderId="1" xfId="2" applyFont="1" applyFill="1" applyBorder="1" applyAlignment="1">
      <alignment horizontal="right" vertical="top"/>
    </xf>
    <xf numFmtId="43" fontId="0" fillId="0" borderId="4" xfId="2" applyFont="1" applyFill="1" applyBorder="1" applyAlignment="1">
      <alignment horizontal="right" vertical="top"/>
    </xf>
    <xf numFmtId="43" fontId="6" fillId="0" borderId="5" xfId="2" applyFont="1" applyFill="1" applyBorder="1" applyAlignment="1">
      <alignment horizontal="center" vertical="center" wrapText="1"/>
    </xf>
    <xf numFmtId="9" fontId="0" fillId="0" borderId="5" xfId="3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 vertical="center"/>
    </xf>
    <xf numFmtId="4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43" fontId="0" fillId="0" borderId="5" xfId="0" applyNumberFormat="1" applyBorder="1" applyAlignment="1">
      <alignment horizontal="center" vertical="center"/>
    </xf>
    <xf numFmtId="15" fontId="0" fillId="0" borderId="5" xfId="0" applyNumberFormat="1" applyBorder="1" applyAlignment="1">
      <alignment horizontal="center"/>
    </xf>
    <xf numFmtId="0" fontId="0" fillId="0" borderId="5" xfId="0" applyBorder="1"/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9" fontId="0" fillId="0" borderId="5" xfId="0" applyNumberFormat="1" applyBorder="1" applyAlignment="1">
      <alignment horizontal="center"/>
    </xf>
    <xf numFmtId="4" fontId="0" fillId="0" borderId="5" xfId="0" applyNumberFormat="1" applyBorder="1"/>
    <xf numFmtId="15" fontId="6" fillId="0" borderId="5" xfId="0" applyNumberFormat="1" applyFon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43" fontId="0" fillId="0" borderId="7" xfId="0" applyNumberFormat="1" applyBorder="1" applyAlignment="1">
      <alignment horizontal="center" vertical="center"/>
    </xf>
    <xf numFmtId="15" fontId="0" fillId="0" borderId="7" xfId="0" applyNumberFormat="1" applyBorder="1" applyAlignment="1">
      <alignment horizontal="center"/>
    </xf>
    <xf numFmtId="165" fontId="6" fillId="0" borderId="4" xfId="0" applyNumberFormat="1" applyFon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5" fontId="2" fillId="0" borderId="2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164" fontId="0" fillId="0" borderId="4" xfId="1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 vertical="top"/>
    </xf>
    <xf numFmtId="9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horizontal="center" vertical="top" wrapText="1"/>
    </xf>
    <xf numFmtId="43" fontId="0" fillId="0" borderId="5" xfId="2" applyFont="1" applyFill="1" applyBorder="1" applyAlignment="1">
      <alignment horizontal="center"/>
    </xf>
    <xf numFmtId="164" fontId="0" fillId="0" borderId="5" xfId="1" applyFont="1" applyFill="1" applyBorder="1" applyAlignment="1">
      <alignment horizontal="center"/>
    </xf>
    <xf numFmtId="165" fontId="2" fillId="0" borderId="5" xfId="0" applyNumberFormat="1" applyFont="1" applyBorder="1" applyAlignment="1">
      <alignment horizontal="center" vertical="top"/>
    </xf>
    <xf numFmtId="0" fontId="0" fillId="0" borderId="5" xfId="0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43" fontId="0" fillId="0" borderId="0" xfId="2" applyFont="1" applyFill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5" fontId="0" fillId="0" borderId="1" xfId="0" applyNumberFormat="1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/>
    </xf>
    <xf numFmtId="15" fontId="0" fillId="0" borderId="7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3" fontId="13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164" fontId="11" fillId="0" borderId="1" xfId="1" applyFont="1" applyFill="1" applyBorder="1" applyAlignment="1">
      <alignment vertical="top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4591-71B4-4B5F-84FA-72145AEDE06D}">
  <dimension ref="A1:W29"/>
  <sheetViews>
    <sheetView tabSelected="1" zoomScale="80" zoomScaleNormal="80" workbookViewId="0">
      <pane xSplit="3" topLeftCell="T1" activePane="topRight" state="frozen"/>
      <selection pane="topRight" activeCell="AF10" sqref="AF10"/>
    </sheetView>
  </sheetViews>
  <sheetFormatPr baseColWidth="10" defaultColWidth="8.6640625" defaultRowHeight="15" customHeight="1" x14ac:dyDescent="0.2"/>
  <cols>
    <col min="1" max="2" width="16.33203125" customWidth="1"/>
    <col min="3" max="3" width="16.1640625" customWidth="1"/>
    <col min="4" max="4" width="38.33203125" customWidth="1"/>
    <col min="5" max="5" width="50.83203125" customWidth="1"/>
    <col min="6" max="8" width="16.6640625" customWidth="1"/>
    <col min="9" max="9" width="7.33203125" customWidth="1"/>
    <col min="10" max="10" width="17" style="95" bestFit="1" customWidth="1"/>
    <col min="11" max="13" width="15.83203125" customWidth="1"/>
    <col min="14" max="14" width="21.6640625" customWidth="1"/>
    <col min="15" max="15" width="14.6640625" bestFit="1" customWidth="1"/>
    <col min="16" max="16" width="21.6640625" bestFit="1" customWidth="1"/>
    <col min="17" max="17" width="10.33203125" customWidth="1"/>
    <col min="18" max="18" width="19.83203125" customWidth="1"/>
    <col min="19" max="19" width="15.33203125" customWidth="1"/>
    <col min="20" max="20" width="18.33203125" customWidth="1"/>
    <col min="21" max="21" width="18.1640625" bestFit="1" customWidth="1"/>
    <col min="22" max="22" width="13.33203125" customWidth="1"/>
  </cols>
  <sheetData>
    <row r="1" spans="1:23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9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</row>
    <row r="2" spans="1:23" x14ac:dyDescent="0.2">
      <c r="A2" s="20" t="s">
        <v>23</v>
      </c>
      <c r="B2" s="20">
        <v>2023</v>
      </c>
      <c r="C2" s="20">
        <v>18210304</v>
      </c>
      <c r="D2" s="20" t="s">
        <v>24</v>
      </c>
      <c r="E2" s="20" t="s">
        <v>25</v>
      </c>
      <c r="F2" s="20" t="s">
        <v>26</v>
      </c>
      <c r="G2" s="20" t="s">
        <v>27</v>
      </c>
      <c r="H2" s="2" t="s">
        <v>28</v>
      </c>
      <c r="I2" s="20">
        <v>3</v>
      </c>
      <c r="J2" s="9">
        <v>2363614.4500000002</v>
      </c>
      <c r="K2" s="6">
        <v>0</v>
      </c>
      <c r="L2" s="2" t="s">
        <v>29</v>
      </c>
      <c r="M2" s="2">
        <v>0</v>
      </c>
      <c r="N2" s="2">
        <v>0</v>
      </c>
      <c r="O2" s="2" t="s">
        <v>29</v>
      </c>
      <c r="P2" s="2">
        <v>0</v>
      </c>
      <c r="Q2" s="73">
        <v>45121</v>
      </c>
      <c r="R2" s="73">
        <v>45464</v>
      </c>
      <c r="S2" s="73">
        <v>45934</v>
      </c>
      <c r="T2" s="106">
        <v>1654530.1150000002</v>
      </c>
      <c r="U2" s="20" t="s">
        <v>30</v>
      </c>
      <c r="V2" s="20" t="s">
        <v>31</v>
      </c>
      <c r="W2" s="33">
        <v>1</v>
      </c>
    </row>
    <row r="3" spans="1:23" x14ac:dyDescent="0.2">
      <c r="A3" s="20" t="s">
        <v>23</v>
      </c>
      <c r="B3" s="20">
        <v>2023</v>
      </c>
      <c r="C3" s="20">
        <v>18210304</v>
      </c>
      <c r="D3" s="20" t="s">
        <v>24</v>
      </c>
      <c r="E3" s="20" t="s">
        <v>25</v>
      </c>
      <c r="F3" s="20" t="s">
        <v>32</v>
      </c>
      <c r="G3" s="20" t="s">
        <v>27</v>
      </c>
      <c r="H3" s="2" t="s">
        <v>28</v>
      </c>
      <c r="I3" s="20">
        <v>3</v>
      </c>
      <c r="J3" s="9">
        <v>0</v>
      </c>
      <c r="K3" s="6">
        <v>0</v>
      </c>
      <c r="L3" s="2" t="s">
        <v>29</v>
      </c>
      <c r="M3" s="2">
        <v>0</v>
      </c>
      <c r="N3" s="2">
        <v>0</v>
      </c>
      <c r="O3" s="2" t="s">
        <v>33</v>
      </c>
      <c r="P3" s="2">
        <v>19003</v>
      </c>
      <c r="Q3" s="73">
        <v>45121</v>
      </c>
      <c r="R3" s="73">
        <v>45464</v>
      </c>
      <c r="S3" s="73">
        <v>45917</v>
      </c>
      <c r="T3" s="106">
        <v>0</v>
      </c>
      <c r="U3" s="20" t="s">
        <v>30</v>
      </c>
      <c r="V3" s="20" t="s">
        <v>31</v>
      </c>
      <c r="W3" s="33">
        <v>1</v>
      </c>
    </row>
    <row r="4" spans="1:23" x14ac:dyDescent="0.2">
      <c r="A4" s="20" t="s">
        <v>23</v>
      </c>
      <c r="B4" s="20">
        <v>2023</v>
      </c>
      <c r="C4" s="20">
        <v>18291861</v>
      </c>
      <c r="D4" s="20" t="s">
        <v>34</v>
      </c>
      <c r="E4" s="20" t="s">
        <v>35</v>
      </c>
      <c r="F4" s="20" t="s">
        <v>26</v>
      </c>
      <c r="G4" s="20" t="s">
        <v>27</v>
      </c>
      <c r="H4" s="20" t="s">
        <v>36</v>
      </c>
      <c r="I4" s="20">
        <v>1</v>
      </c>
      <c r="J4" s="9">
        <v>518196.05</v>
      </c>
      <c r="K4" s="6">
        <v>0</v>
      </c>
      <c r="L4" s="2" t="s">
        <v>29</v>
      </c>
      <c r="M4" s="2">
        <v>0</v>
      </c>
      <c r="N4" s="2">
        <v>0</v>
      </c>
      <c r="O4" s="2" t="s">
        <v>29</v>
      </c>
      <c r="P4" s="2">
        <v>0</v>
      </c>
      <c r="Q4" s="74">
        <v>45244</v>
      </c>
      <c r="R4" s="74">
        <v>45608</v>
      </c>
      <c r="S4" s="96">
        <v>46068</v>
      </c>
      <c r="T4" s="106">
        <v>155458.815</v>
      </c>
      <c r="U4" s="20" t="s">
        <v>37</v>
      </c>
      <c r="V4" s="20" t="s">
        <v>31</v>
      </c>
      <c r="W4" s="33">
        <v>1</v>
      </c>
    </row>
    <row r="5" spans="1:23" x14ac:dyDescent="0.2">
      <c r="A5" s="20" t="s">
        <v>23</v>
      </c>
      <c r="B5" s="20">
        <v>2024</v>
      </c>
      <c r="C5" s="20">
        <v>18407648</v>
      </c>
      <c r="D5" s="20" t="s">
        <v>38</v>
      </c>
      <c r="E5" s="20" t="s">
        <v>39</v>
      </c>
      <c r="F5" s="20" t="s">
        <v>26</v>
      </c>
      <c r="G5" s="20" t="s">
        <v>27</v>
      </c>
      <c r="H5" s="20" t="s">
        <v>28</v>
      </c>
      <c r="I5" s="20">
        <v>4</v>
      </c>
      <c r="J5" s="9">
        <v>831455</v>
      </c>
      <c r="K5" s="6">
        <v>-0.05</v>
      </c>
      <c r="L5" s="2" t="s">
        <v>33</v>
      </c>
      <c r="M5" s="2">
        <v>-41572.75</v>
      </c>
      <c r="N5" s="2">
        <v>0</v>
      </c>
      <c r="O5" s="2" t="s">
        <v>29</v>
      </c>
      <c r="P5" s="2">
        <v>0</v>
      </c>
      <c r="Q5" s="74">
        <v>45404</v>
      </c>
      <c r="R5" s="74">
        <v>45845</v>
      </c>
      <c r="S5" s="20"/>
      <c r="T5" s="106">
        <v>249436.5</v>
      </c>
      <c r="U5" s="20" t="s">
        <v>40</v>
      </c>
      <c r="V5" s="20" t="s">
        <v>41</v>
      </c>
      <c r="W5" s="33">
        <v>0.2</v>
      </c>
    </row>
    <row r="6" spans="1:23" x14ac:dyDescent="0.2">
      <c r="A6" s="20" t="s">
        <v>23</v>
      </c>
      <c r="B6" s="20">
        <v>2024</v>
      </c>
      <c r="C6" s="20">
        <v>18492257</v>
      </c>
      <c r="D6" s="20" t="s">
        <v>42</v>
      </c>
      <c r="E6" s="20" t="s">
        <v>43</v>
      </c>
      <c r="F6" s="20" t="s">
        <v>26</v>
      </c>
      <c r="G6" s="20" t="s">
        <v>44</v>
      </c>
      <c r="H6" s="20" t="s">
        <v>36</v>
      </c>
      <c r="I6" s="20">
        <v>1</v>
      </c>
      <c r="J6" s="9">
        <v>107400</v>
      </c>
      <c r="K6" s="6">
        <v>-0.05</v>
      </c>
      <c r="L6" s="2" t="s">
        <v>29</v>
      </c>
      <c r="M6" s="2">
        <v>0</v>
      </c>
      <c r="N6" s="2">
        <v>-4475.4080000000004</v>
      </c>
      <c r="O6" s="2" t="s">
        <v>33</v>
      </c>
      <c r="P6" s="2">
        <v>6000</v>
      </c>
      <c r="Q6" s="74">
        <v>45505</v>
      </c>
      <c r="R6" s="74">
        <v>45729</v>
      </c>
      <c r="S6" s="20"/>
      <c r="T6" s="106">
        <v>0</v>
      </c>
      <c r="U6" s="20" t="s">
        <v>45</v>
      </c>
      <c r="V6" s="20" t="s">
        <v>41</v>
      </c>
      <c r="W6" s="33">
        <v>0.95</v>
      </c>
    </row>
    <row r="7" spans="1:23" x14ac:dyDescent="0.2">
      <c r="A7" s="20" t="s">
        <v>23</v>
      </c>
      <c r="B7" s="20">
        <v>2024</v>
      </c>
      <c r="C7" s="20">
        <v>18492257</v>
      </c>
      <c r="D7" s="20" t="s">
        <v>42</v>
      </c>
      <c r="E7" s="20" t="s">
        <v>43</v>
      </c>
      <c r="F7" s="20" t="s">
        <v>32</v>
      </c>
      <c r="G7" s="20" t="s">
        <v>46</v>
      </c>
      <c r="H7" s="20" t="s">
        <v>36</v>
      </c>
      <c r="I7" s="20">
        <v>1</v>
      </c>
      <c r="J7" s="9">
        <v>0</v>
      </c>
      <c r="K7" s="6">
        <v>0</v>
      </c>
      <c r="L7" s="2" t="s">
        <v>29</v>
      </c>
      <c r="M7" s="2">
        <v>0</v>
      </c>
      <c r="N7" s="2">
        <v>0</v>
      </c>
      <c r="O7" s="2" t="s">
        <v>33</v>
      </c>
      <c r="P7" s="2">
        <v>0</v>
      </c>
      <c r="Q7" s="74">
        <v>45505</v>
      </c>
      <c r="R7" s="74">
        <v>45729</v>
      </c>
      <c r="S7" s="96">
        <v>46184</v>
      </c>
      <c r="T7" s="106">
        <v>0</v>
      </c>
      <c r="U7" s="20" t="s">
        <v>37</v>
      </c>
      <c r="V7" s="20" t="s">
        <v>31</v>
      </c>
      <c r="W7" s="33">
        <v>1</v>
      </c>
    </row>
    <row r="8" spans="1:23" x14ac:dyDescent="0.2">
      <c r="A8" s="20" t="s">
        <v>23</v>
      </c>
      <c r="B8" s="20">
        <v>2025</v>
      </c>
      <c r="C8" s="20">
        <v>18664359</v>
      </c>
      <c r="D8" s="20" t="s">
        <v>42</v>
      </c>
      <c r="E8" s="20" t="s">
        <v>47</v>
      </c>
      <c r="F8" s="20" t="s">
        <v>26</v>
      </c>
      <c r="G8" s="20" t="s">
        <v>44</v>
      </c>
      <c r="H8" s="20" t="s">
        <v>36</v>
      </c>
      <c r="I8" s="20">
        <v>1</v>
      </c>
      <c r="J8" s="9">
        <v>286400</v>
      </c>
      <c r="K8" s="6">
        <v>-0.05</v>
      </c>
      <c r="L8" s="2" t="s">
        <v>29</v>
      </c>
      <c r="M8" s="2">
        <v>-14320</v>
      </c>
      <c r="N8" s="2">
        <v>0</v>
      </c>
      <c r="O8" s="2" t="s">
        <v>33</v>
      </c>
      <c r="P8" s="2">
        <v>10500</v>
      </c>
      <c r="Q8" s="74">
        <v>45763</v>
      </c>
      <c r="R8" s="74">
        <v>45968</v>
      </c>
      <c r="S8" s="20"/>
      <c r="T8" s="106">
        <v>42960</v>
      </c>
      <c r="U8" s="20" t="s">
        <v>48</v>
      </c>
      <c r="V8" s="20" t="s">
        <v>41</v>
      </c>
      <c r="W8" s="33">
        <v>0.8</v>
      </c>
    </row>
    <row r="9" spans="1:23" x14ac:dyDescent="0.2">
      <c r="A9" s="20" t="s">
        <v>23</v>
      </c>
      <c r="B9" s="20">
        <v>2025</v>
      </c>
      <c r="C9" s="20">
        <v>18721178</v>
      </c>
      <c r="D9" s="20" t="s">
        <v>42</v>
      </c>
      <c r="E9" s="20" t="s">
        <v>49</v>
      </c>
      <c r="F9" s="20" t="s">
        <v>32</v>
      </c>
      <c r="G9" s="20" t="s">
        <v>46</v>
      </c>
      <c r="H9" s="20" t="s">
        <v>36</v>
      </c>
      <c r="I9" s="20">
        <v>4</v>
      </c>
      <c r="J9" s="9">
        <v>368740</v>
      </c>
      <c r="K9" s="6">
        <v>-0.05</v>
      </c>
      <c r="L9" s="2" t="s">
        <v>29</v>
      </c>
      <c r="M9" s="2">
        <v>-18437</v>
      </c>
      <c r="N9" s="2">
        <v>0</v>
      </c>
      <c r="O9" s="2" t="s">
        <v>29</v>
      </c>
      <c r="P9" s="2">
        <v>0</v>
      </c>
      <c r="Q9" s="74">
        <v>45775</v>
      </c>
      <c r="R9" s="74">
        <v>46057</v>
      </c>
      <c r="S9" s="20"/>
      <c r="T9" s="106">
        <v>0</v>
      </c>
      <c r="U9" s="20" t="s">
        <v>50</v>
      </c>
      <c r="V9" s="20" t="s">
        <v>51</v>
      </c>
      <c r="W9" s="33">
        <v>0.5</v>
      </c>
    </row>
    <row r="10" spans="1:23" x14ac:dyDescent="0.2">
      <c r="A10" s="21" t="s">
        <v>52</v>
      </c>
      <c r="B10" s="21">
        <v>2022</v>
      </c>
      <c r="C10" s="21">
        <v>17939411</v>
      </c>
      <c r="D10" s="21" t="s">
        <v>53</v>
      </c>
      <c r="E10" s="21" t="s">
        <v>54</v>
      </c>
      <c r="F10" s="21" t="s">
        <v>26</v>
      </c>
      <c r="G10" s="20" t="s">
        <v>27</v>
      </c>
      <c r="H10" s="20" t="s">
        <v>28</v>
      </c>
      <c r="I10" s="75">
        <v>4</v>
      </c>
      <c r="J10" s="9">
        <v>6710454.0300000003</v>
      </c>
      <c r="K10" s="6">
        <v>0</v>
      </c>
      <c r="L10" s="2" t="s">
        <v>29</v>
      </c>
      <c r="M10" s="2">
        <v>0</v>
      </c>
      <c r="N10" s="2">
        <v>0</v>
      </c>
      <c r="O10" s="2" t="s">
        <v>29</v>
      </c>
      <c r="P10" s="2">
        <v>0</v>
      </c>
      <c r="Q10" s="74">
        <v>44775</v>
      </c>
      <c r="R10" s="76">
        <v>45259</v>
      </c>
      <c r="S10" s="32"/>
      <c r="T10" s="106">
        <v>671045.40300000005</v>
      </c>
      <c r="U10" s="20" t="s">
        <v>50</v>
      </c>
      <c r="V10" s="20" t="s">
        <v>41</v>
      </c>
      <c r="W10" s="33">
        <v>0.4</v>
      </c>
    </row>
    <row r="11" spans="1:23" x14ac:dyDescent="0.2">
      <c r="A11" s="21" t="s">
        <v>52</v>
      </c>
      <c r="B11" s="21">
        <v>2022</v>
      </c>
      <c r="C11" s="21">
        <v>17939411</v>
      </c>
      <c r="D11" s="21" t="s">
        <v>53</v>
      </c>
      <c r="E11" s="21" t="s">
        <v>54</v>
      </c>
      <c r="F11" s="21" t="s">
        <v>32</v>
      </c>
      <c r="G11" s="20" t="s">
        <v>27</v>
      </c>
      <c r="H11" s="20" t="s">
        <v>28</v>
      </c>
      <c r="I11" s="20">
        <v>1</v>
      </c>
      <c r="J11" s="9">
        <v>0</v>
      </c>
      <c r="K11" s="6">
        <v>0</v>
      </c>
      <c r="L11" s="2" t="s">
        <v>29</v>
      </c>
      <c r="M11" s="2">
        <v>0</v>
      </c>
      <c r="N11" s="2">
        <v>0</v>
      </c>
      <c r="O11" s="2" t="s">
        <v>29</v>
      </c>
      <c r="P11" s="2">
        <v>0</v>
      </c>
      <c r="Q11" s="74">
        <v>44775</v>
      </c>
      <c r="R11" s="76">
        <v>45259</v>
      </c>
      <c r="S11" s="97">
        <v>45702</v>
      </c>
      <c r="T11" s="106">
        <v>0</v>
      </c>
      <c r="U11" s="20" t="s">
        <v>30</v>
      </c>
      <c r="V11" s="20" t="s">
        <v>31</v>
      </c>
      <c r="W11" s="33">
        <v>1</v>
      </c>
    </row>
    <row r="12" spans="1:23" ht="16" x14ac:dyDescent="0.2">
      <c r="A12" s="21" t="s">
        <v>52</v>
      </c>
      <c r="B12" s="21">
        <v>2023</v>
      </c>
      <c r="C12" s="21">
        <v>18254957</v>
      </c>
      <c r="D12" s="77" t="s">
        <v>55</v>
      </c>
      <c r="E12" s="21" t="s">
        <v>56</v>
      </c>
      <c r="F12" s="21" t="s">
        <v>26</v>
      </c>
      <c r="G12" s="20" t="s">
        <v>27</v>
      </c>
      <c r="H12" s="20" t="s">
        <v>28</v>
      </c>
      <c r="I12" s="20"/>
      <c r="J12" s="10">
        <v>1589287.3</v>
      </c>
      <c r="K12" s="6">
        <v>0</v>
      </c>
      <c r="L12" s="2" t="s">
        <v>29</v>
      </c>
      <c r="M12" s="2">
        <v>0</v>
      </c>
      <c r="N12" s="2">
        <v>0</v>
      </c>
      <c r="O12" s="2" t="s">
        <v>29</v>
      </c>
      <c r="P12" s="2">
        <v>0</v>
      </c>
      <c r="Q12" s="78">
        <v>45184</v>
      </c>
      <c r="R12" s="76">
        <v>45501</v>
      </c>
      <c r="S12" s="32"/>
      <c r="T12" s="106">
        <v>476786.19000000006</v>
      </c>
      <c r="U12" s="20" t="s">
        <v>50</v>
      </c>
      <c r="V12" s="20" t="s">
        <v>41</v>
      </c>
      <c r="W12" s="33">
        <v>0.45</v>
      </c>
    </row>
    <row r="13" spans="1:23" ht="16" x14ac:dyDescent="0.2">
      <c r="A13" s="21" t="s">
        <v>52</v>
      </c>
      <c r="B13" s="21">
        <v>2023</v>
      </c>
      <c r="C13" s="21">
        <v>18254957</v>
      </c>
      <c r="D13" s="77" t="s">
        <v>55</v>
      </c>
      <c r="E13" s="21" t="s">
        <v>56</v>
      </c>
      <c r="F13" s="21" t="s">
        <v>32</v>
      </c>
      <c r="G13" s="20" t="s">
        <v>46</v>
      </c>
      <c r="H13" s="20" t="s">
        <v>28</v>
      </c>
      <c r="I13" s="20"/>
      <c r="J13" s="9">
        <v>0</v>
      </c>
      <c r="K13" s="6">
        <v>0</v>
      </c>
      <c r="L13" s="2" t="s">
        <v>29</v>
      </c>
      <c r="M13" s="2">
        <v>0</v>
      </c>
      <c r="N13" s="2">
        <v>0</v>
      </c>
      <c r="O13" s="2" t="s">
        <v>29</v>
      </c>
      <c r="P13" s="2">
        <v>0</v>
      </c>
      <c r="Q13" s="78">
        <v>45184</v>
      </c>
      <c r="R13" s="76">
        <v>45501</v>
      </c>
      <c r="S13" s="97">
        <v>45957</v>
      </c>
      <c r="T13" s="106">
        <v>0</v>
      </c>
      <c r="U13" s="20" t="s">
        <v>30</v>
      </c>
      <c r="V13" s="20" t="s">
        <v>31</v>
      </c>
      <c r="W13" s="33">
        <v>1</v>
      </c>
    </row>
    <row r="14" spans="1:23" ht="16" x14ac:dyDescent="0.2">
      <c r="A14" s="21" t="s">
        <v>52</v>
      </c>
      <c r="B14" s="21">
        <v>2023</v>
      </c>
      <c r="C14" s="21">
        <v>18188317</v>
      </c>
      <c r="D14" s="21" t="s">
        <v>57</v>
      </c>
      <c r="E14" s="77" t="s">
        <v>58</v>
      </c>
      <c r="F14" s="21" t="s">
        <v>26</v>
      </c>
      <c r="G14" s="20" t="s">
        <v>27</v>
      </c>
      <c r="H14" s="20" t="s">
        <v>28</v>
      </c>
      <c r="I14" s="20">
        <v>1</v>
      </c>
      <c r="J14" s="10">
        <v>4943980</v>
      </c>
      <c r="K14" s="6">
        <v>0</v>
      </c>
      <c r="L14" s="2" t="s">
        <v>29</v>
      </c>
      <c r="M14" s="2">
        <v>0</v>
      </c>
      <c r="N14" s="2">
        <v>0</v>
      </c>
      <c r="O14" s="2" t="s">
        <v>29</v>
      </c>
      <c r="P14" s="2">
        <v>0</v>
      </c>
      <c r="Q14" s="78">
        <v>45093</v>
      </c>
      <c r="R14" s="76">
        <v>45633</v>
      </c>
      <c r="S14" s="32"/>
      <c r="T14" s="106">
        <v>988796</v>
      </c>
      <c r="U14" s="20" t="s">
        <v>50</v>
      </c>
      <c r="V14" s="20" t="s">
        <v>41</v>
      </c>
      <c r="W14" s="33">
        <v>0.2</v>
      </c>
    </row>
    <row r="15" spans="1:23" ht="16" x14ac:dyDescent="0.2">
      <c r="A15" s="21" t="s">
        <v>52</v>
      </c>
      <c r="B15" s="21">
        <v>2023</v>
      </c>
      <c r="C15" s="21">
        <v>18188317</v>
      </c>
      <c r="D15" s="21" t="s">
        <v>57</v>
      </c>
      <c r="E15" s="77" t="s">
        <v>58</v>
      </c>
      <c r="F15" s="21" t="s">
        <v>32</v>
      </c>
      <c r="G15" s="20" t="s">
        <v>46</v>
      </c>
      <c r="H15" s="20" t="s">
        <v>28</v>
      </c>
      <c r="I15" s="75">
        <v>1</v>
      </c>
      <c r="J15" s="9">
        <v>0</v>
      </c>
      <c r="K15" s="6">
        <v>0</v>
      </c>
      <c r="L15" s="2" t="s">
        <v>29</v>
      </c>
      <c r="M15" s="2">
        <v>0</v>
      </c>
      <c r="N15" s="2">
        <v>0</v>
      </c>
      <c r="O15" s="2" t="s">
        <v>29</v>
      </c>
      <c r="P15" s="2">
        <v>0</v>
      </c>
      <c r="Q15" s="78">
        <v>45093</v>
      </c>
      <c r="R15" s="76">
        <v>45633</v>
      </c>
      <c r="S15" s="73">
        <v>45933</v>
      </c>
      <c r="T15" s="106">
        <v>0</v>
      </c>
      <c r="U15" s="20" t="s">
        <v>30</v>
      </c>
      <c r="V15" s="20" t="s">
        <v>31</v>
      </c>
      <c r="W15" s="33">
        <v>1</v>
      </c>
    </row>
    <row r="16" spans="1:23" ht="16" x14ac:dyDescent="0.2">
      <c r="A16" s="21" t="s">
        <v>52</v>
      </c>
      <c r="B16" s="21">
        <v>2023</v>
      </c>
      <c r="C16" s="21">
        <v>18239263</v>
      </c>
      <c r="D16" s="77" t="s">
        <v>59</v>
      </c>
      <c r="E16" s="21" t="s">
        <v>60</v>
      </c>
      <c r="F16" s="21" t="s">
        <v>26</v>
      </c>
      <c r="G16" s="20" t="s">
        <v>27</v>
      </c>
      <c r="H16" s="20"/>
      <c r="I16" s="20">
        <v>7</v>
      </c>
      <c r="J16" s="10">
        <v>10692464.76</v>
      </c>
      <c r="K16" s="6">
        <v>0</v>
      </c>
      <c r="L16" s="2" t="s">
        <v>29</v>
      </c>
      <c r="M16" s="2">
        <v>0</v>
      </c>
      <c r="N16" s="2">
        <v>0</v>
      </c>
      <c r="O16" s="2" t="s">
        <v>29</v>
      </c>
      <c r="P16" s="2">
        <v>0</v>
      </c>
      <c r="Q16" s="78">
        <v>45160</v>
      </c>
      <c r="R16" s="78">
        <v>45717</v>
      </c>
      <c r="S16" s="97">
        <v>46183</v>
      </c>
      <c r="T16" s="106">
        <v>8553971.8080000002</v>
      </c>
      <c r="U16" s="20" t="s">
        <v>30</v>
      </c>
      <c r="V16" s="20" t="s">
        <v>31</v>
      </c>
      <c r="W16" s="33">
        <v>1</v>
      </c>
    </row>
    <row r="17" spans="1:23" ht="16" x14ac:dyDescent="0.2">
      <c r="A17" s="21" t="s">
        <v>52</v>
      </c>
      <c r="B17" s="21">
        <v>2023</v>
      </c>
      <c r="C17" s="21">
        <v>18239263</v>
      </c>
      <c r="D17" s="77" t="s">
        <v>59</v>
      </c>
      <c r="E17" s="21" t="s">
        <v>60</v>
      </c>
      <c r="F17" s="21" t="s">
        <v>32</v>
      </c>
      <c r="G17" s="20" t="s">
        <v>46</v>
      </c>
      <c r="H17" s="20"/>
      <c r="I17" s="20">
        <v>3</v>
      </c>
      <c r="J17" s="9">
        <v>0</v>
      </c>
      <c r="K17" s="6">
        <v>0</v>
      </c>
      <c r="L17" s="2" t="s">
        <v>29</v>
      </c>
      <c r="M17" s="2">
        <v>0</v>
      </c>
      <c r="N17" s="2">
        <v>0</v>
      </c>
      <c r="O17" s="2" t="s">
        <v>29</v>
      </c>
      <c r="P17" s="2">
        <v>0</v>
      </c>
      <c r="Q17" s="78">
        <v>45160</v>
      </c>
      <c r="R17" s="78">
        <v>45717</v>
      </c>
      <c r="S17" s="97">
        <v>46183</v>
      </c>
      <c r="T17" s="106">
        <v>0</v>
      </c>
      <c r="U17" s="20" t="s">
        <v>30</v>
      </c>
      <c r="V17" s="20" t="s">
        <v>31</v>
      </c>
      <c r="W17" s="33">
        <v>1</v>
      </c>
    </row>
    <row r="18" spans="1:23" ht="16" x14ac:dyDescent="0.2">
      <c r="A18" s="21" t="s">
        <v>52</v>
      </c>
      <c r="B18" s="21">
        <v>2023</v>
      </c>
      <c r="C18" s="21">
        <v>18239263</v>
      </c>
      <c r="D18" s="77" t="s">
        <v>59</v>
      </c>
      <c r="E18" s="21" t="s">
        <v>60</v>
      </c>
      <c r="F18" s="21" t="s">
        <v>61</v>
      </c>
      <c r="G18" s="20" t="s">
        <v>62</v>
      </c>
      <c r="H18" s="20"/>
      <c r="I18" s="20">
        <v>5</v>
      </c>
      <c r="J18" s="9">
        <v>0</v>
      </c>
      <c r="K18" s="6">
        <v>0</v>
      </c>
      <c r="L18" s="2" t="s">
        <v>29</v>
      </c>
      <c r="M18" s="2">
        <v>0</v>
      </c>
      <c r="N18" s="2">
        <v>0</v>
      </c>
      <c r="O18" s="2" t="s">
        <v>29</v>
      </c>
      <c r="P18" s="2">
        <v>0</v>
      </c>
      <c r="Q18" s="78">
        <v>45160</v>
      </c>
      <c r="R18" s="78">
        <v>45717</v>
      </c>
      <c r="S18" s="97">
        <v>46183</v>
      </c>
      <c r="T18" s="106">
        <v>0</v>
      </c>
      <c r="U18" s="20" t="s">
        <v>30</v>
      </c>
      <c r="V18" s="20" t="s">
        <v>31</v>
      </c>
      <c r="W18" s="33">
        <v>1</v>
      </c>
    </row>
    <row r="19" spans="1:23" ht="16" x14ac:dyDescent="0.2">
      <c r="A19" s="79" t="s">
        <v>63</v>
      </c>
      <c r="B19" s="20">
        <v>2023</v>
      </c>
      <c r="C19" s="21">
        <v>18185328</v>
      </c>
      <c r="D19" s="79" t="s">
        <v>64</v>
      </c>
      <c r="E19" s="80" t="s">
        <v>65</v>
      </c>
      <c r="F19" s="21" t="s">
        <v>26</v>
      </c>
      <c r="G19" s="20" t="s">
        <v>27</v>
      </c>
      <c r="H19" s="20" t="s">
        <v>36</v>
      </c>
      <c r="I19" s="20">
        <v>2</v>
      </c>
      <c r="J19" s="10">
        <v>311639</v>
      </c>
      <c r="K19" s="6">
        <v>0</v>
      </c>
      <c r="L19" s="2" t="s">
        <v>29</v>
      </c>
      <c r="M19" s="2">
        <v>0</v>
      </c>
      <c r="N19" s="2">
        <v>0</v>
      </c>
      <c r="O19" s="2" t="s">
        <v>29</v>
      </c>
      <c r="P19" s="2">
        <v>0</v>
      </c>
      <c r="Q19" s="78">
        <v>45086</v>
      </c>
      <c r="R19" s="78">
        <v>45259</v>
      </c>
      <c r="S19" s="97">
        <v>45692</v>
      </c>
      <c r="T19" s="106">
        <v>124655.6</v>
      </c>
      <c r="U19" s="20" t="s">
        <v>30</v>
      </c>
      <c r="V19" s="20" t="s">
        <v>31</v>
      </c>
      <c r="W19" s="33">
        <v>1</v>
      </c>
    </row>
    <row r="20" spans="1:23" ht="16" x14ac:dyDescent="0.2">
      <c r="A20" s="79" t="s">
        <v>63</v>
      </c>
      <c r="B20" s="20">
        <v>2023</v>
      </c>
      <c r="C20" s="79">
        <v>18351480</v>
      </c>
      <c r="D20" s="80" t="s">
        <v>66</v>
      </c>
      <c r="E20" s="80" t="s">
        <v>67</v>
      </c>
      <c r="F20" s="21" t="s">
        <v>26</v>
      </c>
      <c r="G20" s="20" t="s">
        <v>27</v>
      </c>
      <c r="H20" s="20" t="s">
        <v>68</v>
      </c>
      <c r="I20" s="20">
        <v>1</v>
      </c>
      <c r="J20" s="10">
        <v>1079706.52</v>
      </c>
      <c r="K20" s="6">
        <v>0</v>
      </c>
      <c r="L20" s="2" t="s">
        <v>29</v>
      </c>
      <c r="M20" s="2">
        <v>0</v>
      </c>
      <c r="N20" s="2">
        <v>0</v>
      </c>
      <c r="O20" s="2" t="s">
        <v>29</v>
      </c>
      <c r="P20" s="2">
        <v>0</v>
      </c>
      <c r="Q20" s="78">
        <v>45324</v>
      </c>
      <c r="R20" s="78">
        <v>45668</v>
      </c>
      <c r="S20" s="32"/>
      <c r="T20" s="106">
        <v>0</v>
      </c>
      <c r="U20" s="20" t="s">
        <v>50</v>
      </c>
      <c r="V20" s="20" t="s">
        <v>41</v>
      </c>
      <c r="W20" s="33">
        <v>0.35</v>
      </c>
    </row>
    <row r="21" spans="1:23" ht="16" x14ac:dyDescent="0.2">
      <c r="A21" s="81" t="s">
        <v>63</v>
      </c>
      <c r="B21" s="34">
        <v>2024</v>
      </c>
      <c r="C21" s="81">
        <v>18649372</v>
      </c>
      <c r="D21" s="82" t="s">
        <v>69</v>
      </c>
      <c r="E21" s="82" t="s">
        <v>70</v>
      </c>
      <c r="F21" s="34" t="s">
        <v>26</v>
      </c>
      <c r="G21" s="34" t="s">
        <v>44</v>
      </c>
      <c r="H21" s="34" t="s">
        <v>68</v>
      </c>
      <c r="I21" s="34">
        <v>2</v>
      </c>
      <c r="J21" s="11">
        <v>370530</v>
      </c>
      <c r="K21" s="6">
        <v>0</v>
      </c>
      <c r="L21" s="2" t="s">
        <v>29</v>
      </c>
      <c r="M21" s="83">
        <v>0</v>
      </c>
      <c r="N21" s="83">
        <v>0</v>
      </c>
      <c r="O21" s="2" t="s">
        <v>29</v>
      </c>
      <c r="P21" s="83">
        <v>0</v>
      </c>
      <c r="Q21" s="84">
        <v>45734</v>
      </c>
      <c r="R21" s="84">
        <v>45951</v>
      </c>
      <c r="S21" s="38"/>
      <c r="T21" s="106">
        <v>74106</v>
      </c>
      <c r="U21" s="34" t="s">
        <v>50</v>
      </c>
      <c r="V21" s="34" t="s">
        <v>51</v>
      </c>
      <c r="W21" s="85">
        <v>0.45</v>
      </c>
    </row>
    <row r="22" spans="1:23" ht="16" x14ac:dyDescent="0.2">
      <c r="A22" s="86" t="s">
        <v>63</v>
      </c>
      <c r="B22" s="39">
        <v>2024</v>
      </c>
      <c r="C22" s="86">
        <v>18649372</v>
      </c>
      <c r="D22" s="87" t="s">
        <v>69</v>
      </c>
      <c r="E22" s="87" t="s">
        <v>70</v>
      </c>
      <c r="F22" s="41" t="s">
        <v>32</v>
      </c>
      <c r="G22" s="39" t="s">
        <v>46</v>
      </c>
      <c r="H22" s="39" t="s">
        <v>68</v>
      </c>
      <c r="I22" s="39">
        <v>2</v>
      </c>
      <c r="J22" s="88">
        <v>0</v>
      </c>
      <c r="K22" s="6">
        <v>0</v>
      </c>
      <c r="L22" s="2" t="s">
        <v>29</v>
      </c>
      <c r="M22" s="89">
        <v>0</v>
      </c>
      <c r="N22" s="89">
        <v>0</v>
      </c>
      <c r="O22" s="2" t="s">
        <v>29</v>
      </c>
      <c r="P22" s="89">
        <v>0</v>
      </c>
      <c r="Q22" s="90">
        <v>45734</v>
      </c>
      <c r="R22" s="90">
        <v>45951</v>
      </c>
      <c r="S22" s="45"/>
      <c r="T22" s="106">
        <v>0</v>
      </c>
      <c r="U22" s="39" t="s">
        <v>50</v>
      </c>
      <c r="V22" s="39" t="s">
        <v>51</v>
      </c>
      <c r="W22" s="54">
        <v>0.5</v>
      </c>
    </row>
    <row r="23" spans="1:23" ht="15" customHeight="1" x14ac:dyDescent="0.2">
      <c r="A23" s="41" t="s">
        <v>63</v>
      </c>
      <c r="B23" s="41">
        <v>2025</v>
      </c>
      <c r="C23" s="41">
        <v>18793810</v>
      </c>
      <c r="D23" s="41" t="s">
        <v>71</v>
      </c>
      <c r="E23" s="91" t="s">
        <v>72</v>
      </c>
      <c r="F23" s="41" t="s">
        <v>26</v>
      </c>
      <c r="G23" s="39" t="s">
        <v>27</v>
      </c>
      <c r="H23" s="41" t="s">
        <v>73</v>
      </c>
      <c r="I23" s="41">
        <v>1</v>
      </c>
      <c r="J23" s="3">
        <v>1509175.85</v>
      </c>
      <c r="K23" s="6">
        <v>-0.1</v>
      </c>
      <c r="L23" s="41"/>
      <c r="M23" s="4">
        <v>-150917.58500000002</v>
      </c>
      <c r="N23" s="89">
        <v>0</v>
      </c>
      <c r="O23" s="2" t="s">
        <v>29</v>
      </c>
      <c r="P23" s="89">
        <v>0</v>
      </c>
      <c r="Q23" s="90">
        <v>45927</v>
      </c>
      <c r="R23" s="90">
        <v>46294</v>
      </c>
      <c r="S23" s="41"/>
      <c r="T23" s="106">
        <v>0</v>
      </c>
      <c r="U23" s="39" t="s">
        <v>74</v>
      </c>
      <c r="V23" s="39" t="s">
        <v>51</v>
      </c>
      <c r="W23" s="54">
        <v>0.1</v>
      </c>
    </row>
    <row r="24" spans="1:23" ht="15" customHeight="1" x14ac:dyDescent="0.2">
      <c r="A24" s="41" t="s">
        <v>63</v>
      </c>
      <c r="B24" s="41">
        <v>2025</v>
      </c>
      <c r="C24" s="41">
        <v>18793810</v>
      </c>
      <c r="D24" s="41" t="s">
        <v>71</v>
      </c>
      <c r="E24" s="41" t="s">
        <v>75</v>
      </c>
      <c r="F24" s="39" t="s">
        <v>26</v>
      </c>
      <c r="G24" s="39" t="s">
        <v>27</v>
      </c>
      <c r="H24" s="41" t="s">
        <v>73</v>
      </c>
      <c r="I24" s="41">
        <v>1</v>
      </c>
      <c r="J24" s="3">
        <v>0</v>
      </c>
      <c r="K24" s="6">
        <v>0</v>
      </c>
      <c r="L24" s="2" t="s">
        <v>29</v>
      </c>
      <c r="M24" s="89">
        <v>0</v>
      </c>
      <c r="N24" s="89">
        <v>0</v>
      </c>
      <c r="O24" s="2" t="s">
        <v>29</v>
      </c>
      <c r="P24" s="89">
        <v>0</v>
      </c>
      <c r="Q24" s="90">
        <v>45927</v>
      </c>
      <c r="R24" s="90">
        <v>46294</v>
      </c>
      <c r="S24" s="41"/>
      <c r="T24" s="106">
        <v>0</v>
      </c>
      <c r="U24" s="39" t="s">
        <v>74</v>
      </c>
      <c r="V24" s="39" t="s">
        <v>51</v>
      </c>
      <c r="W24" s="54">
        <v>0.1</v>
      </c>
    </row>
    <row r="25" spans="1:23" ht="15" customHeight="1" x14ac:dyDescent="0.2">
      <c r="A25" s="41" t="s">
        <v>63</v>
      </c>
      <c r="B25" s="41">
        <v>2025</v>
      </c>
      <c r="C25" s="41">
        <v>18793810</v>
      </c>
      <c r="D25" s="41" t="s">
        <v>71</v>
      </c>
      <c r="E25" s="41" t="s">
        <v>75</v>
      </c>
      <c r="F25" s="41" t="s">
        <v>32</v>
      </c>
      <c r="G25" s="39" t="s">
        <v>27</v>
      </c>
      <c r="H25" s="41" t="s">
        <v>73</v>
      </c>
      <c r="I25" s="41">
        <v>1</v>
      </c>
      <c r="J25" s="3">
        <v>0</v>
      </c>
      <c r="K25" s="6">
        <v>0</v>
      </c>
      <c r="L25" s="2" t="s">
        <v>29</v>
      </c>
      <c r="M25" s="89">
        <v>0</v>
      </c>
      <c r="N25" s="89">
        <v>0</v>
      </c>
      <c r="O25" s="2" t="s">
        <v>29</v>
      </c>
      <c r="P25" s="89">
        <v>0</v>
      </c>
      <c r="Q25" s="90">
        <v>45927</v>
      </c>
      <c r="R25" s="90">
        <v>46294</v>
      </c>
      <c r="S25" s="41"/>
      <c r="T25" s="106">
        <v>0</v>
      </c>
      <c r="U25" s="39" t="s">
        <v>74</v>
      </c>
      <c r="V25" s="39" t="s">
        <v>51</v>
      </c>
      <c r="W25" s="54">
        <v>0.1</v>
      </c>
    </row>
    <row r="26" spans="1:23" ht="15" customHeight="1" x14ac:dyDescent="0.2">
      <c r="A26" s="41" t="s">
        <v>63</v>
      </c>
      <c r="B26" s="41">
        <v>2025</v>
      </c>
      <c r="C26" s="41">
        <v>18793810</v>
      </c>
      <c r="D26" s="41" t="s">
        <v>71</v>
      </c>
      <c r="E26" s="41" t="s">
        <v>75</v>
      </c>
      <c r="F26" s="41" t="s">
        <v>32</v>
      </c>
      <c r="G26" s="39" t="s">
        <v>27</v>
      </c>
      <c r="H26" s="41" t="s">
        <v>73</v>
      </c>
      <c r="I26" s="41">
        <v>1</v>
      </c>
      <c r="J26" s="3">
        <v>0</v>
      </c>
      <c r="K26" s="6">
        <v>0</v>
      </c>
      <c r="L26" s="2" t="s">
        <v>29</v>
      </c>
      <c r="M26" s="89">
        <v>0</v>
      </c>
      <c r="N26" s="89">
        <v>0</v>
      </c>
      <c r="O26" s="2" t="s">
        <v>29</v>
      </c>
      <c r="P26" s="89">
        <v>0</v>
      </c>
      <c r="Q26" s="90">
        <v>45927</v>
      </c>
      <c r="R26" s="90">
        <v>46294</v>
      </c>
      <c r="S26" s="41"/>
      <c r="T26" s="106">
        <v>0</v>
      </c>
      <c r="U26" s="39" t="s">
        <v>74</v>
      </c>
      <c r="V26" s="39" t="s">
        <v>51</v>
      </c>
      <c r="W26" s="54">
        <v>0.1</v>
      </c>
    </row>
    <row r="27" spans="1:23" ht="15" customHeight="1" x14ac:dyDescent="0.2">
      <c r="A27" s="62" t="s">
        <v>23</v>
      </c>
      <c r="B27" s="62">
        <v>2025</v>
      </c>
      <c r="C27" s="62">
        <v>18768883</v>
      </c>
      <c r="D27" s="62" t="s">
        <v>76</v>
      </c>
      <c r="E27" s="62" t="s">
        <v>77</v>
      </c>
      <c r="F27" s="62" t="s">
        <v>26</v>
      </c>
      <c r="G27" s="62" t="s">
        <v>27</v>
      </c>
      <c r="H27" s="62" t="s">
        <v>68</v>
      </c>
      <c r="I27" s="62">
        <v>1</v>
      </c>
      <c r="J27" s="8">
        <v>841776.14</v>
      </c>
      <c r="K27" s="6">
        <v>-0.05</v>
      </c>
      <c r="L27" s="5"/>
      <c r="M27" s="5">
        <v>-42088.807000000001</v>
      </c>
      <c r="N27" s="5">
        <v>0</v>
      </c>
      <c r="O27" s="2" t="s">
        <v>29</v>
      </c>
      <c r="P27" s="5">
        <v>0</v>
      </c>
      <c r="Q27" s="92">
        <v>45905</v>
      </c>
      <c r="R27" s="92">
        <v>46430</v>
      </c>
      <c r="S27" s="62"/>
      <c r="T27" s="106">
        <v>0</v>
      </c>
      <c r="U27" s="41" t="s">
        <v>74</v>
      </c>
      <c r="V27" s="41" t="s">
        <v>51</v>
      </c>
      <c r="W27" s="54">
        <v>0.1</v>
      </c>
    </row>
    <row r="28" spans="1:23" ht="15" customHeight="1" x14ac:dyDescent="0.2">
      <c r="A28" s="62" t="s">
        <v>23</v>
      </c>
      <c r="B28" s="62">
        <v>2025</v>
      </c>
      <c r="C28" s="60">
        <v>18800831</v>
      </c>
      <c r="D28" s="60" t="s">
        <v>42</v>
      </c>
      <c r="E28" s="60" t="s">
        <v>78</v>
      </c>
      <c r="F28" s="60" t="s">
        <v>26</v>
      </c>
      <c r="G28" s="60" t="s">
        <v>44</v>
      </c>
      <c r="H28" s="62" t="s">
        <v>68</v>
      </c>
      <c r="I28" s="60">
        <v>1</v>
      </c>
      <c r="J28" s="8">
        <v>257437.80000000002</v>
      </c>
      <c r="K28" s="6">
        <v>-0.05</v>
      </c>
      <c r="L28" s="5"/>
      <c r="M28" s="5">
        <v>-12871.890000000001</v>
      </c>
      <c r="N28" s="5">
        <v>0</v>
      </c>
      <c r="O28" s="2" t="s">
        <v>29</v>
      </c>
      <c r="P28" s="5">
        <v>0</v>
      </c>
      <c r="Q28" s="92">
        <v>45959</v>
      </c>
      <c r="R28" s="92">
        <v>46175</v>
      </c>
      <c r="S28" s="60"/>
      <c r="T28" s="106">
        <v>0</v>
      </c>
      <c r="U28" s="93" t="s">
        <v>74</v>
      </c>
      <c r="V28" s="62" t="s">
        <v>51</v>
      </c>
      <c r="W28" s="54">
        <v>0.1</v>
      </c>
    </row>
    <row r="29" spans="1:23" ht="15" customHeight="1" x14ac:dyDescent="0.2">
      <c r="A29" s="41" t="s">
        <v>23</v>
      </c>
      <c r="B29" s="41">
        <v>2025</v>
      </c>
      <c r="C29" s="39">
        <v>18800831</v>
      </c>
      <c r="D29" s="39" t="s">
        <v>42</v>
      </c>
      <c r="E29" s="39" t="s">
        <v>78</v>
      </c>
      <c r="F29" s="41" t="s">
        <v>32</v>
      </c>
      <c r="G29" s="39" t="s">
        <v>46</v>
      </c>
      <c r="H29" s="41" t="s">
        <v>68</v>
      </c>
      <c r="I29" s="39">
        <v>1</v>
      </c>
      <c r="J29" s="3">
        <v>0</v>
      </c>
      <c r="K29" s="6">
        <v>0</v>
      </c>
      <c r="L29" s="2" t="s">
        <v>29</v>
      </c>
      <c r="M29" s="89">
        <v>0</v>
      </c>
      <c r="N29" s="89">
        <v>0</v>
      </c>
      <c r="O29" s="2" t="s">
        <v>29</v>
      </c>
      <c r="P29" s="89">
        <v>0</v>
      </c>
      <c r="Q29" s="94">
        <v>45959</v>
      </c>
      <c r="R29" s="94">
        <v>46175</v>
      </c>
      <c r="S29" s="39"/>
      <c r="T29" s="106">
        <v>0</v>
      </c>
      <c r="U29" s="41" t="s">
        <v>74</v>
      </c>
      <c r="V29" s="41" t="s">
        <v>51</v>
      </c>
      <c r="W29" s="54">
        <v>0.1</v>
      </c>
    </row>
  </sheetData>
  <autoFilter ref="A1:W29" xr:uid="{AE064591-71B4-4B5F-84FA-72145AEDE0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F878-6972-40D9-B1AA-0A7668C8747A}">
  <dimension ref="A1:R58"/>
  <sheetViews>
    <sheetView topLeftCell="J1" zoomScale="85" zoomScaleNormal="85" workbookViewId="0">
      <selection activeCell="U5" sqref="U5"/>
    </sheetView>
  </sheetViews>
  <sheetFormatPr baseColWidth="10" defaultColWidth="8.6640625" defaultRowHeight="15" customHeight="1" x14ac:dyDescent="0.2"/>
  <cols>
    <col min="1" max="1" width="23.5" style="72" customWidth="1"/>
    <col min="2" max="2" width="12.6640625" bestFit="1" customWidth="1"/>
    <col min="3" max="3" width="16.83203125" customWidth="1"/>
    <col min="4" max="4" width="21.33203125" customWidth="1"/>
    <col min="5" max="5" width="17.6640625" customWidth="1"/>
    <col min="6" max="6" width="18.1640625" customWidth="1"/>
    <col min="7" max="7" width="28" customWidth="1"/>
    <col min="8" max="8" width="25" customWidth="1"/>
    <col min="9" max="9" width="12.6640625" customWidth="1"/>
    <col min="10" max="10" width="20.5" bestFit="1" customWidth="1"/>
    <col min="11" max="11" width="16.1640625" bestFit="1" customWidth="1"/>
    <col min="12" max="12" width="23.83203125" customWidth="1"/>
    <col min="13" max="13" width="15.83203125" customWidth="1"/>
    <col min="14" max="14" width="22.83203125" customWidth="1"/>
    <col min="15" max="15" width="19.33203125" style="72" bestFit="1" customWidth="1"/>
    <col min="16" max="16" width="25.33203125" customWidth="1"/>
    <col min="17" max="17" width="25.33203125" style="105" customWidth="1"/>
    <col min="18" max="18" width="23" customWidth="1"/>
  </cols>
  <sheetData>
    <row r="1" spans="1:18" ht="28" x14ac:dyDescent="0.2">
      <c r="A1" s="14" t="s">
        <v>1</v>
      </c>
      <c r="B1" s="15" t="s">
        <v>79</v>
      </c>
      <c r="C1" s="16" t="s">
        <v>0</v>
      </c>
      <c r="D1" s="16" t="s">
        <v>80</v>
      </c>
      <c r="E1" s="17" t="s">
        <v>3</v>
      </c>
      <c r="F1" s="7" t="s">
        <v>81</v>
      </c>
      <c r="G1" s="17" t="s">
        <v>82</v>
      </c>
      <c r="H1" s="7" t="s">
        <v>83</v>
      </c>
      <c r="I1" s="17" t="s">
        <v>84</v>
      </c>
      <c r="J1" s="18" t="s">
        <v>85</v>
      </c>
      <c r="K1" s="18" t="s">
        <v>86</v>
      </c>
      <c r="L1" s="19" t="s">
        <v>87</v>
      </c>
      <c r="M1" s="19" t="s">
        <v>88</v>
      </c>
      <c r="N1" s="18" t="s">
        <v>89</v>
      </c>
      <c r="O1" s="18" t="s">
        <v>90</v>
      </c>
      <c r="P1" s="17" t="s">
        <v>91</v>
      </c>
      <c r="Q1" s="103" t="s">
        <v>92</v>
      </c>
      <c r="R1" s="17" t="s">
        <v>93</v>
      </c>
    </row>
    <row r="2" spans="1:18" x14ac:dyDescent="0.2">
      <c r="A2" s="20">
        <v>2023</v>
      </c>
      <c r="B2" s="21">
        <v>1</v>
      </c>
      <c r="C2" s="22" t="s">
        <v>23</v>
      </c>
      <c r="D2" s="21">
        <v>18210304</v>
      </c>
      <c r="E2" s="22" t="s">
        <v>24</v>
      </c>
      <c r="F2" s="1">
        <v>2363614.4500000002</v>
      </c>
      <c r="G2" s="23">
        <v>0.4</v>
      </c>
      <c r="H2" s="1">
        <v>945445.78000000014</v>
      </c>
      <c r="I2" s="22" t="s">
        <v>94</v>
      </c>
      <c r="J2" s="24">
        <v>45639</v>
      </c>
      <c r="K2" s="24">
        <v>45639</v>
      </c>
      <c r="L2" s="26">
        <v>60</v>
      </c>
      <c r="M2" s="25">
        <v>45699</v>
      </c>
      <c r="N2" s="25">
        <v>45699</v>
      </c>
      <c r="O2" s="24">
        <v>45720</v>
      </c>
      <c r="P2" s="27">
        <v>21</v>
      </c>
      <c r="Q2" s="104">
        <f>IF(R2="Paid",H2,0)</f>
        <v>945445.78000000014</v>
      </c>
      <c r="R2" s="28" t="s">
        <v>95</v>
      </c>
    </row>
    <row r="3" spans="1:18" x14ac:dyDescent="0.2">
      <c r="A3" s="20">
        <v>2023</v>
      </c>
      <c r="B3" s="21">
        <v>2</v>
      </c>
      <c r="C3" s="22" t="s">
        <v>23</v>
      </c>
      <c r="D3" s="21">
        <v>18210304</v>
      </c>
      <c r="E3" s="22" t="s">
        <v>24</v>
      </c>
      <c r="F3" s="1"/>
      <c r="G3" s="23">
        <v>0.3</v>
      </c>
      <c r="H3" s="1">
        <v>709084.33500000008</v>
      </c>
      <c r="I3" s="22" t="s">
        <v>94</v>
      </c>
      <c r="J3" s="24">
        <v>45906</v>
      </c>
      <c r="K3" s="98">
        <v>45791</v>
      </c>
      <c r="L3" s="26">
        <v>60</v>
      </c>
      <c r="M3" s="25">
        <v>45966</v>
      </c>
      <c r="N3" s="25">
        <v>45851</v>
      </c>
      <c r="O3" s="29">
        <v>45863</v>
      </c>
      <c r="P3" s="27">
        <v>12</v>
      </c>
      <c r="Q3" s="104">
        <f t="shared" ref="Q3:Q58" si="0">IF(R3="Paid",H3,0)</f>
        <v>709084.33500000008</v>
      </c>
      <c r="R3" s="28" t="s">
        <v>95</v>
      </c>
    </row>
    <row r="4" spans="1:18" x14ac:dyDescent="0.2">
      <c r="A4" s="20">
        <v>2023</v>
      </c>
      <c r="B4" s="21">
        <v>3</v>
      </c>
      <c r="C4" s="22" t="s">
        <v>23</v>
      </c>
      <c r="D4" s="21">
        <v>18210304</v>
      </c>
      <c r="E4" s="22" t="s">
        <v>24</v>
      </c>
      <c r="F4" s="1"/>
      <c r="G4" s="23">
        <v>0.3</v>
      </c>
      <c r="H4" s="1">
        <v>709084.33500000008</v>
      </c>
      <c r="I4" s="22" t="s">
        <v>94</v>
      </c>
      <c r="J4" s="24">
        <v>45998</v>
      </c>
      <c r="K4" s="25">
        <v>45877</v>
      </c>
      <c r="L4" s="26">
        <v>60</v>
      </c>
      <c r="M4" s="25">
        <v>46058</v>
      </c>
      <c r="N4" s="25">
        <v>45937</v>
      </c>
      <c r="O4" s="29"/>
      <c r="P4" s="27">
        <v>55</v>
      </c>
      <c r="Q4" s="104">
        <f t="shared" si="0"/>
        <v>0</v>
      </c>
      <c r="R4" s="28" t="s">
        <v>96</v>
      </c>
    </row>
    <row r="5" spans="1:18" ht="85" customHeight="1" x14ac:dyDescent="0.2">
      <c r="A5" s="20">
        <v>2024</v>
      </c>
      <c r="B5" s="30">
        <v>1</v>
      </c>
      <c r="C5" s="21" t="s">
        <v>63</v>
      </c>
      <c r="D5" s="20">
        <v>18649372</v>
      </c>
      <c r="E5" s="20" t="s">
        <v>69</v>
      </c>
      <c r="F5" s="1">
        <v>370530</v>
      </c>
      <c r="G5" s="23">
        <v>0.2</v>
      </c>
      <c r="H5" s="31">
        <v>74106</v>
      </c>
      <c r="I5" s="21" t="s">
        <v>94</v>
      </c>
      <c r="J5" s="98">
        <v>45762</v>
      </c>
      <c r="K5" s="98">
        <v>45722</v>
      </c>
      <c r="L5" s="21">
        <v>30</v>
      </c>
      <c r="M5" s="25">
        <v>45792</v>
      </c>
      <c r="N5" s="25">
        <v>45752</v>
      </c>
      <c r="O5" s="29">
        <v>45734</v>
      </c>
      <c r="P5" s="27">
        <v>-18</v>
      </c>
      <c r="Q5" s="104">
        <f t="shared" si="0"/>
        <v>74106</v>
      </c>
      <c r="R5" s="20" t="s">
        <v>95</v>
      </c>
    </row>
    <row r="6" spans="1:18" x14ac:dyDescent="0.2">
      <c r="A6" s="20">
        <v>2024</v>
      </c>
      <c r="B6" s="30">
        <v>2</v>
      </c>
      <c r="C6" s="21" t="s">
        <v>63</v>
      </c>
      <c r="D6" s="20">
        <v>18649372</v>
      </c>
      <c r="E6" s="20" t="s">
        <v>69</v>
      </c>
      <c r="F6" s="1"/>
      <c r="G6" s="23">
        <v>0.2</v>
      </c>
      <c r="H6" s="31">
        <v>74106</v>
      </c>
      <c r="I6" s="21" t="s">
        <v>94</v>
      </c>
      <c r="J6" s="98">
        <v>45871</v>
      </c>
      <c r="K6" s="98">
        <v>45790</v>
      </c>
      <c r="L6" s="21">
        <v>30</v>
      </c>
      <c r="M6" s="25">
        <v>45901</v>
      </c>
      <c r="N6" s="25">
        <v>45820</v>
      </c>
      <c r="O6" s="20"/>
      <c r="P6" s="27">
        <v>172</v>
      </c>
      <c r="Q6" s="104">
        <f t="shared" si="0"/>
        <v>0</v>
      </c>
      <c r="R6" s="28" t="s">
        <v>97</v>
      </c>
    </row>
    <row r="7" spans="1:18" x14ac:dyDescent="0.2">
      <c r="A7" s="20">
        <v>2024</v>
      </c>
      <c r="B7" s="30">
        <v>3</v>
      </c>
      <c r="C7" s="21" t="s">
        <v>63</v>
      </c>
      <c r="D7" s="20">
        <v>18649372</v>
      </c>
      <c r="E7" s="20" t="s">
        <v>69</v>
      </c>
      <c r="F7" s="1"/>
      <c r="G7" s="23">
        <v>0.2</v>
      </c>
      <c r="H7" s="31">
        <v>74106</v>
      </c>
      <c r="I7" s="21" t="s">
        <v>94</v>
      </c>
      <c r="J7" s="98">
        <v>45909</v>
      </c>
      <c r="K7" s="98">
        <v>45824</v>
      </c>
      <c r="L7" s="21">
        <v>30</v>
      </c>
      <c r="M7" s="25">
        <v>45939</v>
      </c>
      <c r="N7" s="25">
        <v>45854</v>
      </c>
      <c r="O7" s="20"/>
      <c r="P7" s="27">
        <v>138</v>
      </c>
      <c r="Q7" s="104">
        <f t="shared" si="0"/>
        <v>0</v>
      </c>
      <c r="R7" s="28" t="s">
        <v>97</v>
      </c>
    </row>
    <row r="8" spans="1:18" ht="37.5" customHeight="1" x14ac:dyDescent="0.2">
      <c r="A8" s="20">
        <v>2024</v>
      </c>
      <c r="B8" s="30">
        <v>4</v>
      </c>
      <c r="C8" s="21" t="s">
        <v>63</v>
      </c>
      <c r="D8" s="20">
        <v>18649372</v>
      </c>
      <c r="E8" s="20" t="s">
        <v>69</v>
      </c>
      <c r="F8" s="1"/>
      <c r="G8" s="23">
        <v>0.35</v>
      </c>
      <c r="H8" s="31">
        <v>129685.49999999999</v>
      </c>
      <c r="I8" s="21" t="s">
        <v>94</v>
      </c>
      <c r="J8" s="98">
        <v>45951</v>
      </c>
      <c r="K8" s="21"/>
      <c r="L8" s="21">
        <v>30</v>
      </c>
      <c r="M8" s="25">
        <v>45981</v>
      </c>
      <c r="N8" s="25"/>
      <c r="O8" s="20"/>
      <c r="P8" s="27"/>
      <c r="Q8" s="104">
        <f t="shared" si="0"/>
        <v>0</v>
      </c>
      <c r="R8" s="27" t="s">
        <v>98</v>
      </c>
    </row>
    <row r="9" spans="1:18" x14ac:dyDescent="0.2">
      <c r="A9" s="20">
        <v>2024</v>
      </c>
      <c r="B9" s="30">
        <v>5</v>
      </c>
      <c r="C9" s="21" t="s">
        <v>63</v>
      </c>
      <c r="D9" s="20">
        <v>18649372</v>
      </c>
      <c r="E9" s="20" t="s">
        <v>69</v>
      </c>
      <c r="F9" s="1"/>
      <c r="G9" s="23">
        <v>0.05</v>
      </c>
      <c r="H9" s="31">
        <v>18526.5</v>
      </c>
      <c r="I9" s="21" t="s">
        <v>94</v>
      </c>
      <c r="J9" s="98">
        <v>45998</v>
      </c>
      <c r="K9" s="21"/>
      <c r="L9" s="21">
        <v>30</v>
      </c>
      <c r="M9" s="25">
        <v>46028</v>
      </c>
      <c r="N9" s="25"/>
      <c r="O9" s="20"/>
      <c r="P9" s="27"/>
      <c r="Q9" s="104">
        <f t="shared" si="0"/>
        <v>0</v>
      </c>
      <c r="R9" s="27" t="s">
        <v>98</v>
      </c>
    </row>
    <row r="10" spans="1:18" x14ac:dyDescent="0.2">
      <c r="A10" s="20">
        <v>2025</v>
      </c>
      <c r="B10" s="20">
        <v>1</v>
      </c>
      <c r="C10" s="21" t="s">
        <v>63</v>
      </c>
      <c r="D10" s="20">
        <v>18793810</v>
      </c>
      <c r="E10" s="20" t="s">
        <v>71</v>
      </c>
      <c r="F10" s="1">
        <v>1509175.85</v>
      </c>
      <c r="G10" s="33">
        <v>0.1</v>
      </c>
      <c r="H10" s="31">
        <v>150917.58500000002</v>
      </c>
      <c r="I10" s="21" t="s">
        <v>94</v>
      </c>
      <c r="J10" s="98">
        <v>46108</v>
      </c>
      <c r="K10" s="21"/>
      <c r="L10" s="21">
        <v>30</v>
      </c>
      <c r="M10" s="25">
        <v>46138</v>
      </c>
      <c r="N10" s="25"/>
      <c r="O10" s="20"/>
      <c r="P10" s="27"/>
      <c r="Q10" s="104">
        <f t="shared" si="0"/>
        <v>0</v>
      </c>
      <c r="R10" s="27" t="s">
        <v>98</v>
      </c>
    </row>
    <row r="11" spans="1:18" x14ac:dyDescent="0.2">
      <c r="A11" s="20">
        <v>2025</v>
      </c>
      <c r="B11" s="20">
        <v>2</v>
      </c>
      <c r="C11" s="21" t="s">
        <v>63</v>
      </c>
      <c r="D11" s="20">
        <v>18793810</v>
      </c>
      <c r="E11" s="20" t="s">
        <v>71</v>
      </c>
      <c r="F11" s="1"/>
      <c r="G11" s="33">
        <v>0.2</v>
      </c>
      <c r="H11" s="31">
        <v>301835.17000000004</v>
      </c>
      <c r="I11" s="21" t="s">
        <v>94</v>
      </c>
      <c r="J11" s="98">
        <v>46148</v>
      </c>
      <c r="K11" s="21"/>
      <c r="L11" s="21">
        <v>30</v>
      </c>
      <c r="M11" s="25">
        <v>46178</v>
      </c>
      <c r="N11" s="25"/>
      <c r="O11" s="20"/>
      <c r="P11" s="27"/>
      <c r="Q11" s="104">
        <f t="shared" si="0"/>
        <v>0</v>
      </c>
      <c r="R11" s="27" t="s">
        <v>98</v>
      </c>
    </row>
    <row r="12" spans="1:18" x14ac:dyDescent="0.2">
      <c r="A12" s="20">
        <v>2025</v>
      </c>
      <c r="B12" s="20">
        <v>3</v>
      </c>
      <c r="C12" s="21" t="s">
        <v>63</v>
      </c>
      <c r="D12" s="20">
        <v>18793810</v>
      </c>
      <c r="E12" s="20" t="s">
        <v>71</v>
      </c>
      <c r="F12" s="1"/>
      <c r="G12" s="33">
        <v>0.1</v>
      </c>
      <c r="H12" s="31">
        <v>150917.58500000002</v>
      </c>
      <c r="I12" s="21" t="s">
        <v>94</v>
      </c>
      <c r="J12" s="98">
        <v>46188</v>
      </c>
      <c r="K12" s="21"/>
      <c r="L12" s="21">
        <v>30</v>
      </c>
      <c r="M12" s="25">
        <v>46218</v>
      </c>
      <c r="N12" s="25"/>
      <c r="O12" s="20"/>
      <c r="P12" s="27"/>
      <c r="Q12" s="104">
        <f t="shared" si="0"/>
        <v>0</v>
      </c>
      <c r="R12" s="27" t="s">
        <v>98</v>
      </c>
    </row>
    <row r="13" spans="1:18" x14ac:dyDescent="0.2">
      <c r="A13" s="20">
        <v>2025</v>
      </c>
      <c r="B13" s="20">
        <v>4</v>
      </c>
      <c r="C13" s="21" t="s">
        <v>63</v>
      </c>
      <c r="D13" s="20">
        <v>18793810</v>
      </c>
      <c r="E13" s="20" t="s">
        <v>71</v>
      </c>
      <c r="F13" s="1"/>
      <c r="G13" s="33">
        <v>0.5</v>
      </c>
      <c r="H13" s="31">
        <v>754587.92500000005</v>
      </c>
      <c r="I13" s="21" t="s">
        <v>94</v>
      </c>
      <c r="J13" s="98">
        <v>46228</v>
      </c>
      <c r="K13" s="21"/>
      <c r="L13" s="21">
        <v>30</v>
      </c>
      <c r="M13" s="25">
        <v>46258</v>
      </c>
      <c r="N13" s="25"/>
      <c r="O13" s="20"/>
      <c r="P13" s="27"/>
      <c r="Q13" s="104">
        <f t="shared" si="0"/>
        <v>0</v>
      </c>
      <c r="R13" s="27" t="s">
        <v>98</v>
      </c>
    </row>
    <row r="14" spans="1:18" x14ac:dyDescent="0.2">
      <c r="A14" s="20">
        <v>2025</v>
      </c>
      <c r="B14" s="20">
        <v>5</v>
      </c>
      <c r="C14" s="21" t="s">
        <v>63</v>
      </c>
      <c r="D14" s="20">
        <v>18793810</v>
      </c>
      <c r="E14" s="20" t="s">
        <v>71</v>
      </c>
      <c r="F14" s="1"/>
      <c r="G14" s="33">
        <v>0.1</v>
      </c>
      <c r="H14" s="31">
        <v>150917.58500000002</v>
      </c>
      <c r="I14" s="21" t="s">
        <v>94</v>
      </c>
      <c r="J14" s="98">
        <v>46195</v>
      </c>
      <c r="K14" s="21"/>
      <c r="L14" s="21">
        <v>30</v>
      </c>
      <c r="M14" s="25">
        <v>46225</v>
      </c>
      <c r="N14" s="25"/>
      <c r="O14" s="20"/>
      <c r="P14" s="27"/>
      <c r="Q14" s="104">
        <f t="shared" si="0"/>
        <v>0</v>
      </c>
      <c r="R14" s="27" t="s">
        <v>98</v>
      </c>
    </row>
    <row r="15" spans="1:18" x14ac:dyDescent="0.2">
      <c r="A15" s="20">
        <v>2025</v>
      </c>
      <c r="B15" s="20">
        <v>1</v>
      </c>
      <c r="C15" s="20" t="s">
        <v>23</v>
      </c>
      <c r="D15" s="20">
        <v>18768883</v>
      </c>
      <c r="E15" s="20" t="s">
        <v>76</v>
      </c>
      <c r="F15" s="1">
        <v>841776.14</v>
      </c>
      <c r="G15" s="23">
        <v>0.15</v>
      </c>
      <c r="H15" s="31">
        <v>126266.421</v>
      </c>
      <c r="I15" s="21" t="s">
        <v>94</v>
      </c>
      <c r="J15" s="98">
        <v>45968</v>
      </c>
      <c r="K15" s="98">
        <v>45863</v>
      </c>
      <c r="L15" s="21">
        <v>30</v>
      </c>
      <c r="M15" s="25">
        <v>45998</v>
      </c>
      <c r="N15" s="25">
        <v>45893</v>
      </c>
      <c r="O15" s="20"/>
      <c r="P15" s="27">
        <v>99</v>
      </c>
      <c r="Q15" s="104">
        <f t="shared" si="0"/>
        <v>0</v>
      </c>
      <c r="R15" s="28" t="s">
        <v>97</v>
      </c>
    </row>
    <row r="16" spans="1:18" x14ac:dyDescent="0.2">
      <c r="A16" s="20">
        <v>2025</v>
      </c>
      <c r="B16" s="20">
        <v>2</v>
      </c>
      <c r="C16" s="20" t="s">
        <v>23</v>
      </c>
      <c r="D16" s="20">
        <v>18768883</v>
      </c>
      <c r="E16" s="20" t="s">
        <v>76</v>
      </c>
      <c r="F16" s="1"/>
      <c r="G16" s="23">
        <v>0.35</v>
      </c>
      <c r="H16" s="31">
        <v>294621.64899999998</v>
      </c>
      <c r="I16" s="21" t="s">
        <v>94</v>
      </c>
      <c r="J16" s="98">
        <v>46183</v>
      </c>
      <c r="K16" s="21"/>
      <c r="L16" s="21">
        <v>30</v>
      </c>
      <c r="M16" s="25">
        <v>46213</v>
      </c>
      <c r="N16" s="25"/>
      <c r="O16" s="20"/>
      <c r="P16" s="27"/>
      <c r="Q16" s="104">
        <f t="shared" si="0"/>
        <v>0</v>
      </c>
      <c r="R16" s="27" t="s">
        <v>98</v>
      </c>
    </row>
    <row r="17" spans="1:18" x14ac:dyDescent="0.2">
      <c r="A17" s="34">
        <v>2025</v>
      </c>
      <c r="B17" s="34">
        <v>3</v>
      </c>
      <c r="C17" s="34" t="s">
        <v>23</v>
      </c>
      <c r="D17" s="34">
        <v>18768883</v>
      </c>
      <c r="E17" s="34" t="s">
        <v>76</v>
      </c>
      <c r="F17" s="1"/>
      <c r="G17" s="35">
        <v>0.5</v>
      </c>
      <c r="H17" s="36">
        <v>420888.07</v>
      </c>
      <c r="I17" s="37" t="s">
        <v>94</v>
      </c>
      <c r="J17" s="101">
        <v>46430</v>
      </c>
      <c r="K17" s="37"/>
      <c r="L17" s="21">
        <v>30</v>
      </c>
      <c r="M17" s="25">
        <v>46460</v>
      </c>
      <c r="N17" s="25"/>
      <c r="O17" s="34"/>
      <c r="P17" s="27"/>
      <c r="Q17" s="104">
        <f t="shared" si="0"/>
        <v>0</v>
      </c>
      <c r="R17" s="27" t="s">
        <v>98</v>
      </c>
    </row>
    <row r="18" spans="1:18" x14ac:dyDescent="0.2">
      <c r="A18" s="39">
        <v>2023</v>
      </c>
      <c r="B18" s="40">
        <v>1</v>
      </c>
      <c r="C18" s="41" t="s">
        <v>63</v>
      </c>
      <c r="D18" s="39">
        <v>18185328</v>
      </c>
      <c r="E18" s="39" t="s">
        <v>64</v>
      </c>
      <c r="F18" s="1">
        <v>311639</v>
      </c>
      <c r="G18" s="42">
        <v>0.4</v>
      </c>
      <c r="H18" s="43">
        <v>124655.6</v>
      </c>
      <c r="I18" s="41" t="s">
        <v>94</v>
      </c>
      <c r="J18" s="99">
        <v>45740</v>
      </c>
      <c r="K18" s="99">
        <v>45727</v>
      </c>
      <c r="L18" s="41">
        <v>30</v>
      </c>
      <c r="M18" s="25">
        <v>45770</v>
      </c>
      <c r="N18" s="25">
        <v>45757</v>
      </c>
      <c r="O18" s="44">
        <v>45703</v>
      </c>
      <c r="P18" s="27">
        <v>-54</v>
      </c>
      <c r="Q18" s="104">
        <f t="shared" si="0"/>
        <v>124655.6</v>
      </c>
      <c r="R18" s="39" t="s">
        <v>95</v>
      </c>
    </row>
    <row r="19" spans="1:18" x14ac:dyDescent="0.2">
      <c r="A19" s="39">
        <v>2023</v>
      </c>
      <c r="B19" s="40">
        <v>2</v>
      </c>
      <c r="C19" s="41" t="s">
        <v>63</v>
      </c>
      <c r="D19" s="39">
        <v>18185328</v>
      </c>
      <c r="E19" s="39" t="s">
        <v>64</v>
      </c>
      <c r="F19" s="1"/>
      <c r="G19" s="42">
        <v>0.6</v>
      </c>
      <c r="H19" s="43">
        <v>186983.4</v>
      </c>
      <c r="I19" s="41" t="s">
        <v>94</v>
      </c>
      <c r="J19" s="99">
        <v>45511</v>
      </c>
      <c r="K19" s="41"/>
      <c r="L19" s="41">
        <v>30</v>
      </c>
      <c r="M19" s="25">
        <v>45541</v>
      </c>
      <c r="N19" s="25"/>
      <c r="O19" s="39"/>
      <c r="P19" s="27"/>
      <c r="Q19" s="104">
        <f t="shared" si="0"/>
        <v>0</v>
      </c>
      <c r="R19" s="46" t="s">
        <v>98</v>
      </c>
    </row>
    <row r="20" spans="1:18" x14ac:dyDescent="0.2">
      <c r="A20" s="39">
        <v>2023</v>
      </c>
      <c r="B20" s="40">
        <v>1</v>
      </c>
      <c r="C20" s="41" t="s">
        <v>63</v>
      </c>
      <c r="D20" s="39">
        <v>18351480</v>
      </c>
      <c r="E20" s="39" t="s">
        <v>66</v>
      </c>
      <c r="F20" s="1">
        <v>1079706.52</v>
      </c>
      <c r="G20" s="42">
        <v>0.3</v>
      </c>
      <c r="H20" s="43">
        <v>323911.95600000001</v>
      </c>
      <c r="I20" s="41" t="s">
        <v>94</v>
      </c>
      <c r="J20" s="99">
        <v>45836</v>
      </c>
      <c r="K20" s="99">
        <v>45749</v>
      </c>
      <c r="L20" s="41">
        <v>30</v>
      </c>
      <c r="M20" s="25">
        <v>45866</v>
      </c>
      <c r="N20" s="25">
        <v>45779</v>
      </c>
      <c r="O20" s="39"/>
      <c r="P20" s="27">
        <v>213</v>
      </c>
      <c r="Q20" s="104">
        <f t="shared" si="0"/>
        <v>0</v>
      </c>
      <c r="R20" s="28" t="s">
        <v>97</v>
      </c>
    </row>
    <row r="21" spans="1:18" x14ac:dyDescent="0.2">
      <c r="A21" s="39">
        <v>2023</v>
      </c>
      <c r="B21" s="40">
        <v>2</v>
      </c>
      <c r="C21" s="41" t="s">
        <v>63</v>
      </c>
      <c r="D21" s="39">
        <v>18351480</v>
      </c>
      <c r="E21" s="39" t="s">
        <v>66</v>
      </c>
      <c r="F21" s="1"/>
      <c r="G21" s="42">
        <v>0.5</v>
      </c>
      <c r="H21" s="43">
        <v>539853.26</v>
      </c>
      <c r="I21" s="41" t="s">
        <v>94</v>
      </c>
      <c r="J21" s="99">
        <v>45966</v>
      </c>
      <c r="K21" s="41"/>
      <c r="L21" s="41">
        <v>30</v>
      </c>
      <c r="M21" s="25">
        <v>45996</v>
      </c>
      <c r="N21" s="25"/>
      <c r="O21" s="39"/>
      <c r="P21" s="27"/>
      <c r="Q21" s="104">
        <f t="shared" si="0"/>
        <v>0</v>
      </c>
      <c r="R21" s="27" t="s">
        <v>98</v>
      </c>
    </row>
    <row r="22" spans="1:18" x14ac:dyDescent="0.2">
      <c r="A22" s="39">
        <v>2023</v>
      </c>
      <c r="B22" s="40">
        <v>3</v>
      </c>
      <c r="C22" s="41" t="s">
        <v>63</v>
      </c>
      <c r="D22" s="39">
        <v>18351480</v>
      </c>
      <c r="E22" s="39" t="s">
        <v>66</v>
      </c>
      <c r="F22" s="1"/>
      <c r="G22" s="42">
        <v>0.2</v>
      </c>
      <c r="H22" s="43">
        <v>215941.304</v>
      </c>
      <c r="I22" s="41" t="s">
        <v>94</v>
      </c>
      <c r="J22" s="99">
        <v>45983</v>
      </c>
      <c r="K22" s="41"/>
      <c r="L22" s="41">
        <v>30</v>
      </c>
      <c r="M22" s="25">
        <v>46013</v>
      </c>
      <c r="N22" s="25"/>
      <c r="O22" s="39"/>
      <c r="P22" s="27"/>
      <c r="Q22" s="104">
        <f t="shared" si="0"/>
        <v>0</v>
      </c>
      <c r="R22" s="27" t="s">
        <v>98</v>
      </c>
    </row>
    <row r="23" spans="1:18" x14ac:dyDescent="0.2">
      <c r="A23" s="47">
        <v>2023</v>
      </c>
      <c r="B23" s="48">
        <v>1</v>
      </c>
      <c r="C23" s="49" t="s">
        <v>23</v>
      </c>
      <c r="D23" s="49">
        <v>18291861</v>
      </c>
      <c r="E23" s="46" t="s">
        <v>34</v>
      </c>
      <c r="F23" s="1">
        <v>518196.05</v>
      </c>
      <c r="G23" s="42">
        <v>0.3</v>
      </c>
      <c r="H23" s="12">
        <v>155458.815</v>
      </c>
      <c r="I23" s="46" t="s">
        <v>94</v>
      </c>
      <c r="J23" s="50">
        <v>45890</v>
      </c>
      <c r="K23" s="50">
        <v>45791</v>
      </c>
      <c r="L23" s="51">
        <v>30</v>
      </c>
      <c r="M23" s="25">
        <v>45920</v>
      </c>
      <c r="N23" s="25">
        <v>45821</v>
      </c>
      <c r="O23" s="52">
        <v>45817</v>
      </c>
      <c r="P23" s="27">
        <v>-4</v>
      </c>
      <c r="Q23" s="104">
        <f t="shared" si="0"/>
        <v>155458.815</v>
      </c>
      <c r="R23" s="53" t="s">
        <v>95</v>
      </c>
    </row>
    <row r="24" spans="1:18" x14ac:dyDescent="0.2">
      <c r="A24" s="47">
        <v>2023</v>
      </c>
      <c r="B24" s="48">
        <v>2</v>
      </c>
      <c r="C24" s="49" t="s">
        <v>23</v>
      </c>
      <c r="D24" s="49">
        <v>18291861</v>
      </c>
      <c r="E24" s="46" t="s">
        <v>34</v>
      </c>
      <c r="F24" s="1"/>
      <c r="G24" s="42">
        <v>0.7</v>
      </c>
      <c r="H24" s="12">
        <v>362737.23499999999</v>
      </c>
      <c r="I24" s="46" t="s">
        <v>94</v>
      </c>
      <c r="J24" s="50">
        <v>45967</v>
      </c>
      <c r="K24" s="50">
        <v>45877</v>
      </c>
      <c r="L24" s="51">
        <v>30</v>
      </c>
      <c r="M24" s="25">
        <v>45997</v>
      </c>
      <c r="N24" s="25">
        <v>45907</v>
      </c>
      <c r="O24" s="50"/>
      <c r="P24" s="27">
        <v>85</v>
      </c>
      <c r="Q24" s="104">
        <f t="shared" si="0"/>
        <v>0</v>
      </c>
      <c r="R24" s="28" t="s">
        <v>96</v>
      </c>
    </row>
    <row r="25" spans="1:18" x14ac:dyDescent="0.2">
      <c r="A25" s="39">
        <v>2023</v>
      </c>
      <c r="B25" s="39">
        <v>1</v>
      </c>
      <c r="C25" s="39" t="s">
        <v>52</v>
      </c>
      <c r="D25" s="39">
        <v>18254957</v>
      </c>
      <c r="E25" s="39" t="s">
        <v>55</v>
      </c>
      <c r="F25" s="1">
        <v>1589287.3</v>
      </c>
      <c r="G25" s="54">
        <v>0.1</v>
      </c>
      <c r="H25" s="55">
        <v>158928.73000000001</v>
      </c>
      <c r="I25" s="41" t="s">
        <v>94</v>
      </c>
      <c r="J25" s="99">
        <v>45649</v>
      </c>
      <c r="K25" s="99">
        <v>45664</v>
      </c>
      <c r="L25" s="41">
        <v>45</v>
      </c>
      <c r="M25" s="25">
        <v>45694</v>
      </c>
      <c r="N25" s="25">
        <v>45709</v>
      </c>
      <c r="O25" s="56">
        <v>45645</v>
      </c>
      <c r="P25" s="27">
        <v>-64</v>
      </c>
      <c r="Q25" s="104">
        <f t="shared" si="0"/>
        <v>158928.73000000001</v>
      </c>
      <c r="R25" s="30" t="s">
        <v>95</v>
      </c>
    </row>
    <row r="26" spans="1:18" x14ac:dyDescent="0.2">
      <c r="A26" s="39">
        <v>2023</v>
      </c>
      <c r="B26" s="39">
        <v>2</v>
      </c>
      <c r="C26" s="39" t="s">
        <v>52</v>
      </c>
      <c r="D26" s="39">
        <v>18254957</v>
      </c>
      <c r="E26" s="39" t="s">
        <v>55</v>
      </c>
      <c r="F26" s="1"/>
      <c r="G26" s="54">
        <v>0.2</v>
      </c>
      <c r="H26" s="55">
        <v>317857.46000000002</v>
      </c>
      <c r="I26" s="41" t="s">
        <v>94</v>
      </c>
      <c r="J26" s="99">
        <v>45655</v>
      </c>
      <c r="K26" s="99">
        <v>45674</v>
      </c>
      <c r="L26" s="41">
        <v>45</v>
      </c>
      <c r="M26" s="25">
        <v>45700</v>
      </c>
      <c r="N26" s="25">
        <v>45719</v>
      </c>
      <c r="O26" s="56">
        <v>45679</v>
      </c>
      <c r="P26" s="27">
        <v>-40</v>
      </c>
      <c r="Q26" s="104">
        <f t="shared" si="0"/>
        <v>317857.46000000002</v>
      </c>
      <c r="R26" s="40" t="s">
        <v>95</v>
      </c>
    </row>
    <row r="27" spans="1:18" x14ac:dyDescent="0.2">
      <c r="A27" s="39">
        <v>2023</v>
      </c>
      <c r="B27" s="39">
        <v>3</v>
      </c>
      <c r="C27" s="39" t="s">
        <v>52</v>
      </c>
      <c r="D27" s="39">
        <v>18254957</v>
      </c>
      <c r="E27" s="39" t="s">
        <v>55</v>
      </c>
      <c r="F27" s="1"/>
      <c r="G27" s="54">
        <v>0.6</v>
      </c>
      <c r="H27" s="55">
        <v>953572.38</v>
      </c>
      <c r="I27" s="41" t="s">
        <v>94</v>
      </c>
      <c r="J27" s="99">
        <v>45927</v>
      </c>
      <c r="K27" s="41"/>
      <c r="L27" s="41">
        <v>45</v>
      </c>
      <c r="M27" s="25">
        <v>45972</v>
      </c>
      <c r="N27" s="25"/>
      <c r="O27" s="40"/>
      <c r="P27" s="27"/>
      <c r="Q27" s="104">
        <f t="shared" si="0"/>
        <v>0</v>
      </c>
      <c r="R27" s="46" t="s">
        <v>98</v>
      </c>
    </row>
    <row r="28" spans="1:18" x14ac:dyDescent="0.2">
      <c r="A28" s="39">
        <v>2023</v>
      </c>
      <c r="B28" s="39">
        <v>4</v>
      </c>
      <c r="C28" s="39" t="s">
        <v>52</v>
      </c>
      <c r="D28" s="39">
        <v>18254957</v>
      </c>
      <c r="E28" s="39" t="s">
        <v>55</v>
      </c>
      <c r="F28" s="1"/>
      <c r="G28" s="54">
        <v>0.1</v>
      </c>
      <c r="H28" s="55">
        <v>158928.73000000001</v>
      </c>
      <c r="I28" s="41" t="s">
        <v>94</v>
      </c>
      <c r="J28" s="99">
        <v>45949</v>
      </c>
      <c r="K28" s="41"/>
      <c r="L28" s="41">
        <v>45</v>
      </c>
      <c r="M28" s="25">
        <v>45994</v>
      </c>
      <c r="N28" s="25"/>
      <c r="O28" s="40"/>
      <c r="P28" s="27"/>
      <c r="Q28" s="104">
        <f t="shared" si="0"/>
        <v>0</v>
      </c>
      <c r="R28" s="27" t="s">
        <v>98</v>
      </c>
    </row>
    <row r="29" spans="1:18" x14ac:dyDescent="0.2">
      <c r="A29" s="39">
        <v>2022</v>
      </c>
      <c r="B29" s="39">
        <v>1</v>
      </c>
      <c r="C29" s="39" t="s">
        <v>52</v>
      </c>
      <c r="D29" s="39">
        <v>17939411</v>
      </c>
      <c r="E29" s="39" t="s">
        <v>53</v>
      </c>
      <c r="F29" s="1">
        <v>6710454.0300000003</v>
      </c>
      <c r="G29" s="54">
        <v>0.1</v>
      </c>
      <c r="H29" s="55">
        <v>671045.40300000005</v>
      </c>
      <c r="I29" s="41" t="s">
        <v>94</v>
      </c>
      <c r="J29" s="99">
        <v>45650</v>
      </c>
      <c r="K29" s="99">
        <v>45593</v>
      </c>
      <c r="L29" s="41">
        <v>45</v>
      </c>
      <c r="M29" s="25">
        <v>45695</v>
      </c>
      <c r="N29" s="25">
        <v>45638</v>
      </c>
      <c r="O29" s="56">
        <v>45752</v>
      </c>
      <c r="P29" s="27">
        <v>114</v>
      </c>
      <c r="Q29" s="104">
        <f t="shared" si="0"/>
        <v>671045.40300000005</v>
      </c>
      <c r="R29" s="40" t="s">
        <v>95</v>
      </c>
    </row>
    <row r="30" spans="1:18" x14ac:dyDescent="0.2">
      <c r="A30" s="39">
        <v>2022</v>
      </c>
      <c r="B30" s="39">
        <v>2</v>
      </c>
      <c r="C30" s="39" t="s">
        <v>52</v>
      </c>
      <c r="D30" s="39">
        <v>17939411</v>
      </c>
      <c r="E30" s="39" t="s">
        <v>53</v>
      </c>
      <c r="F30" s="1"/>
      <c r="G30" s="54">
        <v>0.25</v>
      </c>
      <c r="H30" s="55">
        <v>1677613.5075000001</v>
      </c>
      <c r="I30" s="41" t="s">
        <v>94</v>
      </c>
      <c r="J30" s="99">
        <v>45876</v>
      </c>
      <c r="K30" s="99">
        <v>45824</v>
      </c>
      <c r="L30" s="41">
        <v>45</v>
      </c>
      <c r="M30" s="25">
        <v>45921</v>
      </c>
      <c r="N30" s="25">
        <v>45869</v>
      </c>
      <c r="O30" s="40"/>
      <c r="P30" s="27">
        <v>123</v>
      </c>
      <c r="Q30" s="104">
        <f t="shared" si="0"/>
        <v>0</v>
      </c>
      <c r="R30" s="28" t="s">
        <v>97</v>
      </c>
    </row>
    <row r="31" spans="1:18" x14ac:dyDescent="0.2">
      <c r="A31" s="39">
        <v>2022</v>
      </c>
      <c r="B31" s="39">
        <v>3</v>
      </c>
      <c r="C31" s="39" t="s">
        <v>52</v>
      </c>
      <c r="D31" s="39">
        <v>17939411</v>
      </c>
      <c r="E31" s="39" t="s">
        <v>53</v>
      </c>
      <c r="F31" s="1"/>
      <c r="G31" s="54">
        <v>0.55000000000000004</v>
      </c>
      <c r="H31" s="55">
        <v>3690749.7165000006</v>
      </c>
      <c r="I31" s="41" t="s">
        <v>94</v>
      </c>
      <c r="J31" s="99">
        <v>46074</v>
      </c>
      <c r="K31" s="41"/>
      <c r="L31" s="41">
        <v>45</v>
      </c>
      <c r="M31" s="25">
        <v>46119</v>
      </c>
      <c r="N31" s="25"/>
      <c r="O31" s="40"/>
      <c r="P31" s="27"/>
      <c r="Q31" s="104">
        <f t="shared" si="0"/>
        <v>0</v>
      </c>
      <c r="R31" s="27" t="s">
        <v>98</v>
      </c>
    </row>
    <row r="32" spans="1:18" x14ac:dyDescent="0.2">
      <c r="A32" s="39">
        <v>2022</v>
      </c>
      <c r="B32" s="39">
        <v>4</v>
      </c>
      <c r="C32" s="39" t="s">
        <v>52</v>
      </c>
      <c r="D32" s="39">
        <v>17939411</v>
      </c>
      <c r="E32" s="39" t="s">
        <v>53</v>
      </c>
      <c r="F32" s="1"/>
      <c r="G32" s="54">
        <v>0.1</v>
      </c>
      <c r="H32" s="55">
        <v>671045.40300000005</v>
      </c>
      <c r="I32" s="41" t="s">
        <v>94</v>
      </c>
      <c r="J32" s="99">
        <v>46120</v>
      </c>
      <c r="K32" s="99"/>
      <c r="L32" s="41">
        <v>45</v>
      </c>
      <c r="M32" s="25">
        <v>46165</v>
      </c>
      <c r="N32" s="25"/>
      <c r="O32" s="40"/>
      <c r="P32" s="27"/>
      <c r="Q32" s="104">
        <f t="shared" si="0"/>
        <v>0</v>
      </c>
      <c r="R32" s="27" t="s">
        <v>98</v>
      </c>
    </row>
    <row r="33" spans="1:18" x14ac:dyDescent="0.2">
      <c r="A33" s="39">
        <v>2023</v>
      </c>
      <c r="B33" s="39">
        <v>1</v>
      </c>
      <c r="C33" s="39" t="s">
        <v>52</v>
      </c>
      <c r="D33" s="39">
        <v>18188317</v>
      </c>
      <c r="E33" s="39" t="s">
        <v>57</v>
      </c>
      <c r="F33" s="1">
        <v>4943980</v>
      </c>
      <c r="G33" s="54">
        <v>0.2</v>
      </c>
      <c r="H33" s="55">
        <v>988796</v>
      </c>
      <c r="I33" s="41" t="s">
        <v>94</v>
      </c>
      <c r="J33" s="99">
        <v>45511</v>
      </c>
      <c r="K33" s="99">
        <v>45777</v>
      </c>
      <c r="L33" s="41">
        <v>30</v>
      </c>
      <c r="M33" s="25">
        <v>45541</v>
      </c>
      <c r="N33" s="25">
        <v>45807</v>
      </c>
      <c r="O33" s="56">
        <v>45766</v>
      </c>
      <c r="P33" s="27">
        <v>-41</v>
      </c>
      <c r="Q33" s="104">
        <f t="shared" si="0"/>
        <v>988796</v>
      </c>
      <c r="R33" s="40" t="s">
        <v>95</v>
      </c>
    </row>
    <row r="34" spans="1:18" x14ac:dyDescent="0.2">
      <c r="A34" s="39">
        <v>2023</v>
      </c>
      <c r="B34" s="39">
        <v>2</v>
      </c>
      <c r="C34" s="39" t="s">
        <v>52</v>
      </c>
      <c r="D34" s="39">
        <v>18188317</v>
      </c>
      <c r="E34" s="39" t="s">
        <v>57</v>
      </c>
      <c r="F34" s="1"/>
      <c r="G34" s="54">
        <v>0.2</v>
      </c>
      <c r="H34" s="55">
        <v>988796</v>
      </c>
      <c r="I34" s="41" t="s">
        <v>94</v>
      </c>
      <c r="J34" s="99">
        <v>45922</v>
      </c>
      <c r="K34" s="41"/>
      <c r="L34" s="41">
        <v>30</v>
      </c>
      <c r="M34" s="25">
        <v>45952</v>
      </c>
      <c r="N34" s="25"/>
      <c r="O34" s="40"/>
      <c r="P34" s="27"/>
      <c r="Q34" s="104">
        <f t="shared" si="0"/>
        <v>0</v>
      </c>
      <c r="R34" s="28" t="s">
        <v>97</v>
      </c>
    </row>
    <row r="35" spans="1:18" x14ac:dyDescent="0.2">
      <c r="A35" s="39">
        <v>2023</v>
      </c>
      <c r="B35" s="39">
        <v>3</v>
      </c>
      <c r="C35" s="39" t="s">
        <v>52</v>
      </c>
      <c r="D35" s="39">
        <v>18188317</v>
      </c>
      <c r="E35" s="39" t="s">
        <v>57</v>
      </c>
      <c r="F35" s="1"/>
      <c r="G35" s="54">
        <v>0.5</v>
      </c>
      <c r="H35" s="55">
        <v>2471990</v>
      </c>
      <c r="I35" s="41" t="s">
        <v>94</v>
      </c>
      <c r="J35" s="99">
        <v>46010</v>
      </c>
      <c r="K35" s="41"/>
      <c r="L35" s="41">
        <v>30</v>
      </c>
      <c r="M35" s="25">
        <v>46040</v>
      </c>
      <c r="N35" s="25"/>
      <c r="O35" s="40"/>
      <c r="P35" s="27"/>
      <c r="Q35" s="104">
        <f t="shared" si="0"/>
        <v>0</v>
      </c>
      <c r="R35" s="27" t="s">
        <v>98</v>
      </c>
    </row>
    <row r="36" spans="1:18" x14ac:dyDescent="0.2">
      <c r="A36" s="39">
        <v>2023</v>
      </c>
      <c r="B36" s="39">
        <v>4</v>
      </c>
      <c r="C36" s="39" t="s">
        <v>52</v>
      </c>
      <c r="D36" s="39">
        <v>18188317</v>
      </c>
      <c r="E36" s="39" t="s">
        <v>57</v>
      </c>
      <c r="F36" s="1"/>
      <c r="G36" s="54">
        <v>0.1</v>
      </c>
      <c r="H36" s="55">
        <v>494398</v>
      </c>
      <c r="I36" s="41" t="s">
        <v>94</v>
      </c>
      <c r="J36" s="99">
        <v>46054</v>
      </c>
      <c r="K36" s="99"/>
      <c r="L36" s="41">
        <v>30</v>
      </c>
      <c r="M36" s="25">
        <v>46084</v>
      </c>
      <c r="N36" s="25"/>
      <c r="O36" s="40"/>
      <c r="P36" s="27"/>
      <c r="Q36" s="104">
        <f t="shared" si="0"/>
        <v>0</v>
      </c>
      <c r="R36" s="27" t="s">
        <v>98</v>
      </c>
    </row>
    <row r="37" spans="1:18" x14ac:dyDescent="0.2">
      <c r="A37" s="39">
        <v>2023</v>
      </c>
      <c r="B37" s="39">
        <v>1</v>
      </c>
      <c r="C37" s="39" t="s">
        <v>52</v>
      </c>
      <c r="D37" s="39">
        <v>18239263</v>
      </c>
      <c r="E37" s="39" t="s">
        <v>59</v>
      </c>
      <c r="F37" s="1">
        <v>10692464.76</v>
      </c>
      <c r="G37" s="54">
        <v>0.05</v>
      </c>
      <c r="H37" s="55">
        <v>534623.23800000001</v>
      </c>
      <c r="I37" s="41" t="s">
        <v>94</v>
      </c>
      <c r="J37" s="99">
        <v>45876</v>
      </c>
      <c r="K37" s="99">
        <v>45824</v>
      </c>
      <c r="L37" s="41">
        <v>45</v>
      </c>
      <c r="M37" s="25">
        <v>45921</v>
      </c>
      <c r="N37" s="25">
        <v>45869</v>
      </c>
      <c r="O37" s="40"/>
      <c r="P37" s="27">
        <v>123</v>
      </c>
      <c r="Q37" s="104">
        <f t="shared" si="0"/>
        <v>0</v>
      </c>
      <c r="R37" s="28" t="s">
        <v>97</v>
      </c>
    </row>
    <row r="38" spans="1:18" x14ac:dyDescent="0.2">
      <c r="A38" s="39">
        <v>2023</v>
      </c>
      <c r="B38" s="39">
        <v>2</v>
      </c>
      <c r="C38" s="39" t="s">
        <v>52</v>
      </c>
      <c r="D38" s="39">
        <v>18239263</v>
      </c>
      <c r="E38" s="39" t="s">
        <v>59</v>
      </c>
      <c r="F38" s="1"/>
      <c r="G38" s="57">
        <v>0.1</v>
      </c>
      <c r="H38" s="55">
        <v>1069246.476</v>
      </c>
      <c r="I38" s="41" t="s">
        <v>94</v>
      </c>
      <c r="J38" s="99">
        <v>45851</v>
      </c>
      <c r="K38" s="99">
        <v>45749</v>
      </c>
      <c r="L38" s="41">
        <v>45</v>
      </c>
      <c r="M38" s="25">
        <v>45896</v>
      </c>
      <c r="N38" s="25">
        <v>45794</v>
      </c>
      <c r="O38" s="56">
        <v>45759</v>
      </c>
      <c r="P38" s="27">
        <v>-35</v>
      </c>
      <c r="Q38" s="104">
        <f t="shared" si="0"/>
        <v>1069246.476</v>
      </c>
      <c r="R38" s="40" t="s">
        <v>95</v>
      </c>
    </row>
    <row r="39" spans="1:18" x14ac:dyDescent="0.2">
      <c r="A39" s="39">
        <v>2023</v>
      </c>
      <c r="B39" s="39">
        <v>3</v>
      </c>
      <c r="C39" s="39" t="s">
        <v>52</v>
      </c>
      <c r="D39" s="39">
        <v>18239263</v>
      </c>
      <c r="E39" s="39" t="s">
        <v>59</v>
      </c>
      <c r="F39" s="1"/>
      <c r="G39" s="57">
        <v>0.1</v>
      </c>
      <c r="H39" s="55">
        <v>1069246.476</v>
      </c>
      <c r="I39" s="41" t="s">
        <v>94</v>
      </c>
      <c r="J39" s="99">
        <v>45761</v>
      </c>
      <c r="K39" s="99">
        <v>45680</v>
      </c>
      <c r="L39" s="41">
        <v>45</v>
      </c>
      <c r="M39" s="25">
        <v>45806</v>
      </c>
      <c r="N39" s="25">
        <v>45725</v>
      </c>
      <c r="O39" s="56">
        <v>45694</v>
      </c>
      <c r="P39" s="27">
        <v>-31</v>
      </c>
      <c r="Q39" s="104">
        <f t="shared" si="0"/>
        <v>1069246.476</v>
      </c>
      <c r="R39" s="40" t="s">
        <v>95</v>
      </c>
    </row>
    <row r="40" spans="1:18" x14ac:dyDescent="0.2">
      <c r="A40" s="39">
        <v>2023</v>
      </c>
      <c r="B40" s="39">
        <v>4</v>
      </c>
      <c r="C40" s="39" t="s">
        <v>52</v>
      </c>
      <c r="D40" s="39">
        <v>18239263</v>
      </c>
      <c r="E40" s="39" t="s">
        <v>59</v>
      </c>
      <c r="F40" s="1"/>
      <c r="G40" s="57">
        <v>0.2</v>
      </c>
      <c r="H40" s="55">
        <v>2138492.952</v>
      </c>
      <c r="I40" s="41" t="s">
        <v>94</v>
      </c>
      <c r="J40" s="99">
        <v>45761</v>
      </c>
      <c r="K40" s="99">
        <v>45680</v>
      </c>
      <c r="L40" s="41">
        <v>45</v>
      </c>
      <c r="M40" s="25">
        <v>45806</v>
      </c>
      <c r="N40" s="25">
        <v>45725</v>
      </c>
      <c r="O40" s="56">
        <v>45694</v>
      </c>
      <c r="P40" s="27">
        <v>-31</v>
      </c>
      <c r="Q40" s="104">
        <f t="shared" si="0"/>
        <v>2138492.952</v>
      </c>
      <c r="R40" s="40" t="s">
        <v>95</v>
      </c>
    </row>
    <row r="41" spans="1:18" x14ac:dyDescent="0.2">
      <c r="A41" s="39">
        <v>2023</v>
      </c>
      <c r="B41" s="39">
        <v>5</v>
      </c>
      <c r="C41" s="39" t="s">
        <v>52</v>
      </c>
      <c r="D41" s="39">
        <v>18239263</v>
      </c>
      <c r="E41" s="39" t="s">
        <v>59</v>
      </c>
      <c r="F41" s="1"/>
      <c r="G41" s="57">
        <v>0.3</v>
      </c>
      <c r="H41" s="55">
        <v>3207739.4279999998</v>
      </c>
      <c r="I41" s="41" t="s">
        <v>94</v>
      </c>
      <c r="J41" s="99">
        <v>45761</v>
      </c>
      <c r="K41" s="99">
        <v>45680</v>
      </c>
      <c r="L41" s="41">
        <v>45</v>
      </c>
      <c r="M41" s="25">
        <v>45806</v>
      </c>
      <c r="N41" s="25">
        <v>45725</v>
      </c>
      <c r="O41" s="56">
        <v>45694</v>
      </c>
      <c r="P41" s="27">
        <v>-31</v>
      </c>
      <c r="Q41" s="104">
        <f t="shared" si="0"/>
        <v>3207739.4279999998</v>
      </c>
      <c r="R41" s="40" t="s">
        <v>95</v>
      </c>
    </row>
    <row r="42" spans="1:18" x14ac:dyDescent="0.2">
      <c r="A42" s="39">
        <v>2023</v>
      </c>
      <c r="B42" s="39">
        <v>6</v>
      </c>
      <c r="C42" s="39" t="s">
        <v>52</v>
      </c>
      <c r="D42" s="39">
        <v>18239263</v>
      </c>
      <c r="E42" s="39" t="s">
        <v>59</v>
      </c>
      <c r="F42" s="1"/>
      <c r="G42" s="57">
        <v>0.1</v>
      </c>
      <c r="H42" s="55">
        <v>1069246.476</v>
      </c>
      <c r="I42" s="41" t="s">
        <v>94</v>
      </c>
      <c r="J42" s="99">
        <v>45761</v>
      </c>
      <c r="K42" s="99">
        <v>45680</v>
      </c>
      <c r="L42" s="41">
        <v>45</v>
      </c>
      <c r="M42" s="25">
        <v>45806</v>
      </c>
      <c r="N42" s="25">
        <v>45725</v>
      </c>
      <c r="O42" s="56">
        <v>45694</v>
      </c>
      <c r="P42" s="27">
        <v>-31</v>
      </c>
      <c r="Q42" s="104">
        <f t="shared" si="0"/>
        <v>1069246.476</v>
      </c>
      <c r="R42" s="40" t="s">
        <v>95</v>
      </c>
    </row>
    <row r="43" spans="1:18" x14ac:dyDescent="0.2">
      <c r="A43" s="39">
        <v>2023</v>
      </c>
      <c r="B43" s="39">
        <v>7</v>
      </c>
      <c r="C43" s="39" t="s">
        <v>52</v>
      </c>
      <c r="D43" s="39">
        <v>18239263</v>
      </c>
      <c r="E43" s="39" t="s">
        <v>59</v>
      </c>
      <c r="F43" s="1"/>
      <c r="G43" s="57">
        <v>0.05</v>
      </c>
      <c r="H43" s="55">
        <v>534623.23800000001</v>
      </c>
      <c r="I43" s="41" t="s">
        <v>94</v>
      </c>
      <c r="J43" s="99">
        <v>45900</v>
      </c>
      <c r="K43" s="99">
        <v>45804</v>
      </c>
      <c r="L43" s="41">
        <v>45</v>
      </c>
      <c r="M43" s="25">
        <v>45945</v>
      </c>
      <c r="N43" s="25">
        <v>45849</v>
      </c>
      <c r="O43" s="40"/>
      <c r="P43" s="27">
        <v>143</v>
      </c>
      <c r="Q43" s="104">
        <f t="shared" si="0"/>
        <v>0</v>
      </c>
      <c r="R43" s="28" t="s">
        <v>97</v>
      </c>
    </row>
    <row r="44" spans="1:18" x14ac:dyDescent="0.2">
      <c r="A44" s="39">
        <v>2023</v>
      </c>
      <c r="B44" s="39">
        <v>8</v>
      </c>
      <c r="C44" s="39" t="s">
        <v>52</v>
      </c>
      <c r="D44" s="39">
        <v>18239263</v>
      </c>
      <c r="E44" s="39" t="s">
        <v>59</v>
      </c>
      <c r="F44" s="1"/>
      <c r="G44" s="54">
        <v>0.1</v>
      </c>
      <c r="H44" s="55">
        <v>1069246.476</v>
      </c>
      <c r="I44" s="41" t="s">
        <v>94</v>
      </c>
      <c r="J44" s="99">
        <v>45932</v>
      </c>
      <c r="K44" s="99"/>
      <c r="L44" s="41">
        <v>45</v>
      </c>
      <c r="M44" s="25">
        <v>45977</v>
      </c>
      <c r="N44" s="25"/>
      <c r="O44" s="40"/>
      <c r="P44" s="27"/>
      <c r="Q44" s="104">
        <f t="shared" si="0"/>
        <v>0</v>
      </c>
      <c r="R44" s="27" t="s">
        <v>98</v>
      </c>
    </row>
    <row r="45" spans="1:18" x14ac:dyDescent="0.2">
      <c r="A45" s="39">
        <v>2024</v>
      </c>
      <c r="B45" s="49">
        <v>1</v>
      </c>
      <c r="C45" s="49" t="s">
        <v>23</v>
      </c>
      <c r="D45" s="41">
        <v>18407648</v>
      </c>
      <c r="E45" s="49" t="s">
        <v>38</v>
      </c>
      <c r="F45" s="1">
        <v>831455</v>
      </c>
      <c r="G45" s="13">
        <v>0.3</v>
      </c>
      <c r="H45" s="43">
        <v>249436.5</v>
      </c>
      <c r="I45" s="49" t="s">
        <v>94</v>
      </c>
      <c r="J45" s="52">
        <v>45845</v>
      </c>
      <c r="K45" s="52">
        <v>45378</v>
      </c>
      <c r="L45" s="58">
        <v>30</v>
      </c>
      <c r="M45" s="25">
        <v>45875</v>
      </c>
      <c r="N45" s="25">
        <v>45408</v>
      </c>
      <c r="O45" s="52">
        <v>45771</v>
      </c>
      <c r="P45" s="27">
        <v>363</v>
      </c>
      <c r="Q45" s="104">
        <f t="shared" si="0"/>
        <v>249436.5</v>
      </c>
      <c r="R45" s="59" t="s">
        <v>95</v>
      </c>
    </row>
    <row r="46" spans="1:18" x14ac:dyDescent="0.2">
      <c r="A46" s="39">
        <v>2024</v>
      </c>
      <c r="B46" s="49">
        <v>2</v>
      </c>
      <c r="C46" s="49" t="s">
        <v>23</v>
      </c>
      <c r="D46" s="41">
        <v>18407648</v>
      </c>
      <c r="E46" s="49" t="s">
        <v>38</v>
      </c>
      <c r="F46" s="1"/>
      <c r="G46" s="13">
        <v>0.5</v>
      </c>
      <c r="H46" s="43">
        <v>415727.5</v>
      </c>
      <c r="I46" s="49" t="s">
        <v>94</v>
      </c>
      <c r="J46" s="52">
        <v>45967</v>
      </c>
      <c r="K46" s="52"/>
      <c r="L46" s="58">
        <v>30</v>
      </c>
      <c r="M46" s="25">
        <v>45997</v>
      </c>
      <c r="N46" s="25"/>
      <c r="O46" s="39"/>
      <c r="P46" s="27"/>
      <c r="Q46" s="104">
        <f t="shared" si="0"/>
        <v>0</v>
      </c>
      <c r="R46" s="46" t="s">
        <v>98</v>
      </c>
    </row>
    <row r="47" spans="1:18" x14ac:dyDescent="0.2">
      <c r="A47" s="39">
        <v>2024</v>
      </c>
      <c r="B47" s="61">
        <v>3</v>
      </c>
      <c r="C47" s="61" t="s">
        <v>23</v>
      </c>
      <c r="D47" s="62">
        <v>18407648</v>
      </c>
      <c r="E47" s="61" t="s">
        <v>38</v>
      </c>
      <c r="F47" s="1"/>
      <c r="G47" s="13">
        <v>0.2</v>
      </c>
      <c r="H47" s="43">
        <v>166291</v>
      </c>
      <c r="I47" s="49" t="s">
        <v>94</v>
      </c>
      <c r="J47" s="52">
        <v>45998</v>
      </c>
      <c r="K47" s="52"/>
      <c r="L47" s="58">
        <v>30</v>
      </c>
      <c r="M47" s="25">
        <v>46028</v>
      </c>
      <c r="N47" s="25"/>
      <c r="O47" s="39"/>
      <c r="P47" s="27"/>
      <c r="Q47" s="104">
        <f t="shared" si="0"/>
        <v>0</v>
      </c>
      <c r="R47" s="27" t="s">
        <v>98</v>
      </c>
    </row>
    <row r="48" spans="1:18" x14ac:dyDescent="0.2">
      <c r="A48" s="39">
        <v>2024</v>
      </c>
      <c r="B48" s="41">
        <v>1</v>
      </c>
      <c r="C48" s="41" t="s">
        <v>23</v>
      </c>
      <c r="D48" s="41">
        <v>18492257</v>
      </c>
      <c r="E48" s="41" t="s">
        <v>42</v>
      </c>
      <c r="F48" s="1">
        <v>107400</v>
      </c>
      <c r="G48" s="63">
        <v>0.5</v>
      </c>
      <c r="H48" s="64">
        <v>53700</v>
      </c>
      <c r="I48" s="62" t="s">
        <v>94</v>
      </c>
      <c r="J48" s="100">
        <v>45891</v>
      </c>
      <c r="K48" s="100">
        <v>45791</v>
      </c>
      <c r="L48" s="62">
        <v>30</v>
      </c>
      <c r="M48" s="66">
        <v>45921</v>
      </c>
      <c r="N48" s="25">
        <v>45821</v>
      </c>
      <c r="O48" s="60"/>
      <c r="P48" s="27">
        <v>171</v>
      </c>
      <c r="Q48" s="104">
        <f t="shared" si="0"/>
        <v>0</v>
      </c>
      <c r="R48" s="67" t="s">
        <v>97</v>
      </c>
    </row>
    <row r="49" spans="1:18" x14ac:dyDescent="0.2">
      <c r="A49" s="39">
        <v>2024</v>
      </c>
      <c r="B49" s="41">
        <v>2</v>
      </c>
      <c r="C49" s="41" t="s">
        <v>23</v>
      </c>
      <c r="D49" s="41">
        <v>18492257</v>
      </c>
      <c r="E49" s="41" t="s">
        <v>42</v>
      </c>
      <c r="F49" s="1"/>
      <c r="G49" s="42">
        <v>0.5</v>
      </c>
      <c r="H49" s="64">
        <v>53700</v>
      </c>
      <c r="I49" s="41" t="s">
        <v>94</v>
      </c>
      <c r="J49" s="99">
        <v>45967</v>
      </c>
      <c r="K49" s="98">
        <v>45862</v>
      </c>
      <c r="L49" s="41">
        <v>30</v>
      </c>
      <c r="M49" s="66">
        <v>45997</v>
      </c>
      <c r="N49" s="25">
        <v>45892</v>
      </c>
      <c r="O49" s="39"/>
      <c r="P49" s="27">
        <v>100</v>
      </c>
      <c r="Q49" s="104">
        <f t="shared" si="0"/>
        <v>0</v>
      </c>
      <c r="R49" s="27" t="s">
        <v>96</v>
      </c>
    </row>
    <row r="50" spans="1:18" x14ac:dyDescent="0.2">
      <c r="A50" s="60">
        <v>2025</v>
      </c>
      <c r="B50" s="62">
        <v>1</v>
      </c>
      <c r="C50" s="62" t="s">
        <v>23</v>
      </c>
      <c r="D50" s="62">
        <v>18664359</v>
      </c>
      <c r="E50" s="62" t="s">
        <v>42</v>
      </c>
      <c r="F50" s="1">
        <v>286400</v>
      </c>
      <c r="G50" s="63">
        <v>0.15</v>
      </c>
      <c r="H50" s="64">
        <v>42960</v>
      </c>
      <c r="I50" s="62" t="s">
        <v>94</v>
      </c>
      <c r="J50" s="100">
        <v>45876</v>
      </c>
      <c r="K50" s="100">
        <v>45792</v>
      </c>
      <c r="L50" s="62">
        <v>30</v>
      </c>
      <c r="M50" s="68">
        <v>45906</v>
      </c>
      <c r="N50" s="25">
        <v>45822</v>
      </c>
      <c r="O50" s="65">
        <v>45861</v>
      </c>
      <c r="P50" s="27">
        <v>39</v>
      </c>
      <c r="Q50" s="104">
        <f t="shared" si="0"/>
        <v>42960</v>
      </c>
      <c r="R50" s="70" t="s">
        <v>95</v>
      </c>
    </row>
    <row r="51" spans="1:18" x14ac:dyDescent="0.2">
      <c r="A51" s="39">
        <v>2025</v>
      </c>
      <c r="B51" s="41">
        <v>2</v>
      </c>
      <c r="C51" s="41" t="s">
        <v>23</v>
      </c>
      <c r="D51" s="41">
        <v>18664359</v>
      </c>
      <c r="E51" s="41" t="s">
        <v>42</v>
      </c>
      <c r="F51" s="1"/>
      <c r="G51" s="42">
        <v>0.35</v>
      </c>
      <c r="H51" s="64">
        <v>100240</v>
      </c>
      <c r="I51" s="41" t="s">
        <v>94</v>
      </c>
      <c r="J51" s="99">
        <v>45967</v>
      </c>
      <c r="K51" s="99">
        <v>45862</v>
      </c>
      <c r="L51" s="41">
        <v>30</v>
      </c>
      <c r="M51" s="50">
        <v>45997</v>
      </c>
      <c r="N51" s="25">
        <v>45892</v>
      </c>
      <c r="O51" s="39"/>
      <c r="P51" s="27">
        <v>100</v>
      </c>
      <c r="Q51" s="104">
        <f t="shared" si="0"/>
        <v>0</v>
      </c>
      <c r="R51" s="59" t="s">
        <v>97</v>
      </c>
    </row>
    <row r="52" spans="1:18" x14ac:dyDescent="0.2">
      <c r="A52" s="39">
        <v>2025</v>
      </c>
      <c r="B52" s="41">
        <v>3</v>
      </c>
      <c r="C52" s="41" t="s">
        <v>23</v>
      </c>
      <c r="D52" s="41">
        <v>18664359</v>
      </c>
      <c r="E52" s="41" t="s">
        <v>42</v>
      </c>
      <c r="F52" s="1"/>
      <c r="G52" s="63">
        <v>0.5</v>
      </c>
      <c r="H52" s="64">
        <v>143200</v>
      </c>
      <c r="I52" s="41" t="s">
        <v>94</v>
      </c>
      <c r="J52" s="99">
        <v>45975</v>
      </c>
      <c r="K52" s="41"/>
      <c r="L52" s="41">
        <v>30</v>
      </c>
      <c r="M52" s="50">
        <v>46005</v>
      </c>
      <c r="N52" s="25"/>
      <c r="O52" s="39"/>
      <c r="P52" s="27"/>
      <c r="Q52" s="104">
        <f t="shared" si="0"/>
        <v>0</v>
      </c>
      <c r="R52" s="46" t="s">
        <v>98</v>
      </c>
    </row>
    <row r="53" spans="1:18" x14ac:dyDescent="0.2">
      <c r="A53" s="39">
        <v>2025</v>
      </c>
      <c r="B53" s="39">
        <v>1</v>
      </c>
      <c r="C53" s="41" t="s">
        <v>23</v>
      </c>
      <c r="D53" s="39">
        <v>18721178</v>
      </c>
      <c r="E53" s="41" t="s">
        <v>42</v>
      </c>
      <c r="F53" s="1">
        <v>368740</v>
      </c>
      <c r="G53" s="63">
        <v>0.15</v>
      </c>
      <c r="H53" s="43">
        <v>55311</v>
      </c>
      <c r="I53" s="41" t="s">
        <v>94</v>
      </c>
      <c r="J53" s="99">
        <v>45889</v>
      </c>
      <c r="K53" s="99">
        <v>45791</v>
      </c>
      <c r="L53" s="41">
        <v>30</v>
      </c>
      <c r="M53" s="50">
        <v>45919</v>
      </c>
      <c r="N53" s="25">
        <v>45821</v>
      </c>
      <c r="O53" s="39"/>
      <c r="P53" s="27">
        <v>171</v>
      </c>
      <c r="Q53" s="104">
        <f t="shared" si="0"/>
        <v>0</v>
      </c>
      <c r="R53" s="39" t="s">
        <v>96</v>
      </c>
    </row>
    <row r="54" spans="1:18" x14ac:dyDescent="0.2">
      <c r="A54" s="39">
        <v>2025</v>
      </c>
      <c r="B54" s="39">
        <v>2</v>
      </c>
      <c r="C54" s="41" t="s">
        <v>23</v>
      </c>
      <c r="D54" s="39">
        <v>18721178</v>
      </c>
      <c r="E54" s="41" t="s">
        <v>42</v>
      </c>
      <c r="F54" s="1"/>
      <c r="G54" s="63">
        <v>0.35</v>
      </c>
      <c r="H54" s="43">
        <v>129058.99999999999</v>
      </c>
      <c r="I54" s="41" t="s">
        <v>94</v>
      </c>
      <c r="J54" s="99">
        <v>45979</v>
      </c>
      <c r="K54" s="41"/>
      <c r="L54" s="41">
        <v>30</v>
      </c>
      <c r="M54" s="50">
        <v>46009</v>
      </c>
      <c r="N54" s="25"/>
      <c r="O54" s="39"/>
      <c r="P54" s="27"/>
      <c r="Q54" s="104">
        <f t="shared" si="0"/>
        <v>0</v>
      </c>
      <c r="R54" s="46" t="s">
        <v>98</v>
      </c>
    </row>
    <row r="55" spans="1:18" x14ac:dyDescent="0.2">
      <c r="A55" s="60">
        <v>2025</v>
      </c>
      <c r="B55" s="60">
        <v>3</v>
      </c>
      <c r="C55" s="62" t="s">
        <v>23</v>
      </c>
      <c r="D55" s="60">
        <v>18721178</v>
      </c>
      <c r="E55" s="62" t="s">
        <v>42</v>
      </c>
      <c r="F55" s="1"/>
      <c r="G55" s="63">
        <v>0.5</v>
      </c>
      <c r="H55" s="43">
        <v>184370</v>
      </c>
      <c r="I55" s="62" t="s">
        <v>94</v>
      </c>
      <c r="J55" s="100">
        <v>46057</v>
      </c>
      <c r="K55" s="41"/>
      <c r="L55" s="41">
        <v>30</v>
      </c>
      <c r="M55" s="50">
        <v>46087</v>
      </c>
      <c r="N55" s="25"/>
      <c r="O55" s="39"/>
      <c r="P55" s="27"/>
      <c r="Q55" s="104">
        <f t="shared" si="0"/>
        <v>0</v>
      </c>
      <c r="R55" s="46" t="s">
        <v>98</v>
      </c>
    </row>
    <row r="56" spans="1:18" x14ac:dyDescent="0.2">
      <c r="A56" s="39">
        <v>2025</v>
      </c>
      <c r="B56" s="39">
        <v>1</v>
      </c>
      <c r="C56" s="39" t="s">
        <v>23</v>
      </c>
      <c r="D56" s="39">
        <v>18800831</v>
      </c>
      <c r="E56" s="39" t="s">
        <v>42</v>
      </c>
      <c r="F56" s="1">
        <v>257437.80000000002</v>
      </c>
      <c r="G56" s="42">
        <v>0.15</v>
      </c>
      <c r="H56" s="43">
        <v>38615.67</v>
      </c>
      <c r="I56" s="41" t="s">
        <v>94</v>
      </c>
      <c r="J56" s="99">
        <v>45952</v>
      </c>
      <c r="K56" s="102"/>
      <c r="L56" s="41">
        <v>30</v>
      </c>
      <c r="M56" s="50">
        <v>45982</v>
      </c>
      <c r="N56" s="25"/>
      <c r="O56" s="39"/>
      <c r="P56" s="27"/>
      <c r="Q56" s="104">
        <f t="shared" si="0"/>
        <v>0</v>
      </c>
      <c r="R56" s="69" t="s">
        <v>98</v>
      </c>
    </row>
    <row r="57" spans="1:18" x14ac:dyDescent="0.2">
      <c r="A57" s="39">
        <v>2025</v>
      </c>
      <c r="B57" s="39">
        <v>2</v>
      </c>
      <c r="C57" s="39" t="s">
        <v>23</v>
      </c>
      <c r="D57" s="39">
        <v>18800831</v>
      </c>
      <c r="E57" s="39" t="s">
        <v>42</v>
      </c>
      <c r="F57" s="1"/>
      <c r="G57" s="42">
        <v>0.35</v>
      </c>
      <c r="H57" s="43">
        <v>90103.23</v>
      </c>
      <c r="I57" s="41" t="s">
        <v>94</v>
      </c>
      <c r="J57" s="99">
        <v>46068</v>
      </c>
      <c r="K57" s="102"/>
      <c r="L57" s="41">
        <v>30</v>
      </c>
      <c r="M57" s="50">
        <v>46098</v>
      </c>
      <c r="N57" s="25"/>
      <c r="O57" s="39"/>
      <c r="P57" s="27"/>
      <c r="Q57" s="104">
        <f t="shared" si="0"/>
        <v>0</v>
      </c>
      <c r="R57" s="69" t="s">
        <v>98</v>
      </c>
    </row>
    <row r="58" spans="1:18" x14ac:dyDescent="0.2">
      <c r="A58" s="39">
        <v>2025</v>
      </c>
      <c r="B58" s="39">
        <v>3</v>
      </c>
      <c r="C58" s="39" t="s">
        <v>23</v>
      </c>
      <c r="D58" s="39">
        <v>18800831</v>
      </c>
      <c r="E58" s="39" t="s">
        <v>42</v>
      </c>
      <c r="F58" s="1"/>
      <c r="G58" s="42">
        <v>0.5</v>
      </c>
      <c r="H58" s="43">
        <v>128718.90000000001</v>
      </c>
      <c r="I58" s="41" t="s">
        <v>94</v>
      </c>
      <c r="J58" s="99">
        <v>46076</v>
      </c>
      <c r="K58" s="102"/>
      <c r="L58" s="41">
        <v>30</v>
      </c>
      <c r="M58" s="50">
        <v>46106</v>
      </c>
      <c r="N58" s="25"/>
      <c r="O58" s="71"/>
      <c r="P58" s="27"/>
      <c r="Q58" s="104">
        <f t="shared" si="0"/>
        <v>0</v>
      </c>
      <c r="R58" s="46" t="s">
        <v>98</v>
      </c>
    </row>
  </sheetData>
  <autoFilter ref="A1:R58" xr:uid="{916CF878-6972-40D9-B1AA-0A7668C8747A}"/>
  <phoneticPr fontId="7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01DCB72592E45A4CD5D0DC2AB45C6" ma:contentTypeVersion="18" ma:contentTypeDescription="Create a new document." ma:contentTypeScope="" ma:versionID="91f8ab587bb6380a5a331599e170b3e4">
  <xsd:schema xmlns:xsd="http://www.w3.org/2001/XMLSchema" xmlns:xs="http://www.w3.org/2001/XMLSchema" xmlns:p="http://schemas.microsoft.com/office/2006/metadata/properties" xmlns:ns2="2952d940-5f17-46a6-a012-265838558851" xmlns:ns3="84ed983d-0353-4599-86af-91b89fcd91f1" targetNamespace="http://schemas.microsoft.com/office/2006/metadata/properties" ma:root="true" ma:fieldsID="48a1203e883ed521f23fe8d124f266e2" ns2:_="" ns3:_="">
    <xsd:import namespace="2952d940-5f17-46a6-a012-265838558851"/>
    <xsd:import namespace="84ed983d-0353-4599-86af-91b89fcd91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d940-5f17-46a6-a012-2658385588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5f81d0-cc8c-4396-a01c-a18c79d945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d983d-0353-4599-86af-91b89fcd91f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c1b0c0-04d7-4b5c-bf54-d3cc38e51437}" ma:internalName="TaxCatchAll" ma:showField="CatchAllData" ma:web="84ed983d-0353-4599-86af-91b89fcd91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ed983d-0353-4599-86af-91b89fcd91f1" xsi:nil="true"/>
    <lcf76f155ced4ddcb4097134ff3c332f xmlns="2952d940-5f17-46a6-a012-2658385588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9D3F9F-291A-4824-A079-E18C0CB3D2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249602-81E4-4F68-8F12-F618F20ADA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2d940-5f17-46a6-a012-265838558851"/>
    <ds:schemaRef ds:uri="84ed983d-0353-4599-86af-91b89fcd91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E38CDB-EB87-4760-BAB8-8AAF5A909FBB}">
  <ds:schemaRefs>
    <ds:schemaRef ds:uri="http://schemas.microsoft.com/office/2006/metadata/properties"/>
    <ds:schemaRef ds:uri="http://schemas.microsoft.com/office/infopath/2007/PartnerControls"/>
    <ds:schemaRef ds:uri="84ed983d-0353-4599-86af-91b89fcd91f1"/>
    <ds:schemaRef ds:uri="2952d940-5f17-46a6-a012-2658385588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</vt:lpstr>
      <vt:lpstr>Invoice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Watcharapon Likanapichitkhun (ETS CHX TH)</dc:creator>
  <cp:keywords/>
  <dc:description/>
  <cp:lastModifiedBy>ธนิน ตราบชั่วกัลปาว์</cp:lastModifiedBy>
  <cp:revision/>
  <dcterms:created xsi:type="dcterms:W3CDTF">2025-05-14T15:15:45Z</dcterms:created>
  <dcterms:modified xsi:type="dcterms:W3CDTF">2025-12-05T18:51:11Z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0x010100A9E01DCB72592E45A4CD5D0DC2AB45C6</vt:lpwstr>
  </property>
  <property fmtid="{D5CDD505-2E9C-101B-9397-08002B2CF9AE}" pid="3" name="MediaServiceImageTags">
    <vt:lpwstr/>
  </property>
</Properties>
</file>